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 Plan" sheetId="2" state="visible" r:id="rId2"/>
    <sheet xmlns:r="http://schemas.openxmlformats.org/officeDocument/2006/relationships" name="Effort Summary" sheetId="3" state="visible" r:id="rId3"/>
    <sheet xmlns:r="http://schemas.openxmlformats.org/officeDocument/2006/relationships" name="Milestones &amp; Risks" sheetId="4" state="visible" r:id="rId4"/>
    <sheet xmlns:r="http://schemas.openxmlformats.org/officeDocument/2006/relationships" name="RACI Matrix" sheetId="5" state="visible" r:id="rId5"/>
    <sheet xmlns:r="http://schemas.openxmlformats.org/officeDocument/2006/relationships" name="SAP Notes &amp;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  <font>
      <b val="1"/>
      <color rgb="001F3B73"/>
      <sz val="18"/>
    </font>
    <font>
      <i val="1"/>
      <color rgb="00666666"/>
      <sz val="10.5"/>
    </font>
    <font>
      <b val="1"/>
      <color rgb="00FFFFFF"/>
      <sz val="9.5"/>
    </font>
    <font>
      <b val="1"/>
      <color rgb="001F3B73"/>
      <sz val="20"/>
    </font>
    <font>
      <i val="1"/>
      <color rgb="00666666"/>
      <sz val="8.5"/>
    </font>
    <font>
      <b val="1"/>
      <color rgb="001F3B73"/>
      <sz val="12"/>
    </font>
  </fonts>
  <fills count="6">
    <fill>
      <patternFill/>
    </fill>
    <fill>
      <patternFill patternType="gray125"/>
    </fill>
    <fill>
      <patternFill patternType="solid">
        <fgColor rgb="001F3B73"/>
      </patternFill>
    </fill>
    <fill>
      <patternFill patternType="solid">
        <fgColor rgb="00F2F2F2"/>
      </patternFill>
    </fill>
    <fill>
      <patternFill patternType="solid">
        <fgColor rgb="00F4B183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Effort by Phase (PD)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'Effort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'Effort Summary'!$A$3:$A$10</f>
            </numRef>
          </cat>
          <val>
            <numRef>
              <f>'Effort Summary'!$C$3:$C$10</f>
            </numRef>
          </val>
        </ser>
        <dLbls>
          <numFmt formatCode="0.#"/>
          <showLegendKey val="0"/>
          <showVal val="1"/>
          <showCatName val="0"/>
          <showSerName val="0"/>
        </dLbls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Effort by Role (PD)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'Effort 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'Effort Summary'!$A$16:$A$22</f>
            </numRef>
          </cat>
          <val>
            <numRef>
              <f>'Effort Summary'!$B$16:$B$22</f>
            </numRef>
          </val>
        </ser>
        <dLbls>
          <numFmt formatCode="0.#"/>
          <showLegendKey val="0"/>
          <showVal val="1"/>
          <showCatName val="0"/>
          <showSerName val="0"/>
        </dLbls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Effort by Work Type</a:t>
            </a:r>
          </a:p>
        </rich>
      </tx>
    </title>
    <plotArea>
      <pieChart>
        <varyColors val="1"/>
        <ser>
          <idx val="0"/>
          <order val="0"/>
          <tx>
            <strRef>
              <f>'Effort Summary'!B41</f>
            </strRef>
          </tx>
          <spPr>
            <a:ln xmlns:a="http://schemas.openxmlformats.org/drawingml/2006/main">
              <a:prstDash val="solid"/>
            </a:ln>
          </spPr>
          <cat>
            <numRef>
              <f>'Effort Summary'!$A$42:$A$48</f>
            </numRef>
          </cat>
          <val>
            <numRef>
              <f>'Effort Summary'!$B$42:$B$48</f>
            </numRef>
          </val>
        </ser>
        <dLbls>
          <numFmt formatCode="0%"/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image" Target="/xl/media/image1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35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22</col>
      <colOff>0</colOff>
      <row>35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9</row>
      <rowOff>0</rowOff>
    </from>
    <ext cx="8763000" cy="438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IFRS 18 Adoption — Project Plan Dashboard</t>
        </is>
      </c>
    </row>
    <row r="2">
      <c r="A2" s="2" t="inlineStr">
        <is>
          <t>288 - IFRS 18  |  Updated Jul 14, 2026</t>
        </is>
      </c>
    </row>
    <row r="4">
      <c r="A4" s="3" t="inlineStr">
        <is>
          <t>TOTAL EFFORT</t>
        </is>
      </c>
      <c r="B4" s="4" t="n"/>
      <c r="C4" s="4" t="n"/>
      <c r="E4" s="3" t="inlineStr">
        <is>
          <t>DURATION</t>
        </is>
      </c>
      <c r="F4" s="4" t="n"/>
      <c r="G4" s="4" t="n"/>
      <c r="I4" s="3" t="inlineStr">
        <is>
          <t>ACTIVITIES</t>
        </is>
      </c>
      <c r="J4" s="4" t="n"/>
      <c r="K4" s="4" t="n"/>
      <c r="M4" s="3" t="inlineStr">
        <is>
          <t>GO-LIVE TARGET</t>
        </is>
      </c>
      <c r="N4" s="4" t="n"/>
      <c r="O4" s="4" t="n"/>
    </row>
    <row r="5" ht="34" customHeight="1">
      <c r="A5" s="5" t="inlineStr">
        <is>
          <t>~105 PD</t>
        </is>
      </c>
      <c r="B5" s="4" t="n"/>
      <c r="C5" s="4" t="n"/>
      <c r="E5" s="5" t="inlineStr">
        <is>
          <t>~22 weeks</t>
        </is>
      </c>
      <c r="F5" s="4" t="n"/>
      <c r="G5" s="4" t="n"/>
      <c r="I5" s="5" t="inlineStr">
        <is>
          <t>60</t>
        </is>
      </c>
      <c r="J5" s="4" t="n"/>
      <c r="K5" s="4" t="n"/>
      <c r="M5" s="5" t="inlineStr">
        <is>
          <t>10 Nov 2026</t>
        </is>
      </c>
      <c r="N5" s="4" t="n"/>
      <c r="O5" s="4" t="n"/>
    </row>
    <row r="6">
      <c r="A6" s="6" t="inlineStr">
        <is>
          <t>was ~95 PD before SAP Note + Treasury review</t>
        </is>
      </c>
      <c r="B6" s="4" t="n"/>
      <c r="C6" s="4" t="n"/>
      <c r="E6" s="6" t="inlineStr">
        <is>
          <t>mid-July to early December 2026</t>
        </is>
      </c>
      <c r="F6" s="4" t="n"/>
      <c r="G6" s="4" t="n"/>
      <c r="I6" s="6" t="inlineStr">
        <is>
          <t>across 8 phases</t>
        </is>
      </c>
      <c r="J6" s="4" t="n"/>
      <c r="K6" s="4" t="n"/>
      <c r="M6" s="6" t="inlineStr">
        <is>
          <t>ahead of the 1 Jan 2027 effective date</t>
        </is>
      </c>
      <c r="N6" s="4" t="n"/>
      <c r="O6" s="4" t="n"/>
    </row>
    <row r="9">
      <c r="A9" s="7" t="inlineStr">
        <is>
          <t>Project Timeline</t>
        </is>
      </c>
    </row>
    <row r="35">
      <c r="A35" s="7" t="inlineStr">
        <is>
          <t>Effort Breakdown</t>
        </is>
      </c>
    </row>
  </sheetData>
  <mergeCells count="12">
    <mergeCell ref="A5:C5"/>
    <mergeCell ref="E5:G5"/>
    <mergeCell ref="I5:K5"/>
    <mergeCell ref="M4:O4"/>
    <mergeCell ref="A6:C6"/>
    <mergeCell ref="M5:O5"/>
    <mergeCell ref="E4:G4"/>
    <mergeCell ref="I4:K4"/>
    <mergeCell ref="A4:C4"/>
    <mergeCell ref="M6:O6"/>
    <mergeCell ref="E6:G6"/>
    <mergeCell ref="I6:K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55" customWidth="1" min="4" max="4"/>
    <col width="45" customWidth="1" min="5" max="5"/>
    <col width="9" customWidth="1" min="6" max="6"/>
    <col width="34" customWidth="1" min="7" max="7"/>
    <col width="16" customWidth="1" min="8" max="8"/>
    <col width="16" customWidth="1" min="9" max="9"/>
    <col width="11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</cols>
  <sheetData>
    <row r="1">
      <c r="A1" s="8" t="inlineStr">
        <is>
          <t>Activity ID</t>
        </is>
      </c>
      <c r="B1" s="8" t="inlineStr">
        <is>
          <t>Exec. Order</t>
        </is>
      </c>
      <c r="C1" s="8" t="inlineStr">
        <is>
          <t>Phase</t>
        </is>
      </c>
      <c r="D1" s="8" t="inlineStr">
        <is>
          <t>Description</t>
        </is>
      </c>
      <c r="E1" s="8" t="inlineStr">
        <is>
          <t>SAP Transaction(s) / Object(s)</t>
        </is>
      </c>
      <c r="F1" s="8" t="inlineStr">
        <is>
          <t>GAP Ref</t>
        </is>
      </c>
      <c r="G1" s="8" t="inlineStr">
        <is>
          <t>GAP Name</t>
        </is>
      </c>
      <c r="H1" s="8" t="inlineStr">
        <is>
          <t>Gap Type</t>
        </is>
      </c>
      <c r="I1" s="8" t="inlineStr">
        <is>
          <t>Role</t>
        </is>
      </c>
      <c r="J1" s="8" t="inlineStr">
        <is>
          <t>Effort (PD)</t>
        </is>
      </c>
      <c r="K1" s="8" t="inlineStr">
        <is>
          <t>Start Date</t>
        </is>
      </c>
      <c r="L1" s="8" t="inlineStr">
        <is>
          <t>End Date</t>
        </is>
      </c>
      <c r="M1" s="8" t="inlineStr">
        <is>
          <t>Duration (days)</t>
        </is>
      </c>
      <c r="N1" s="8" t="inlineStr">
        <is>
          <t>Dependencies</t>
        </is>
      </c>
      <c r="O1" s="8" t="inlineStr">
        <is>
          <t>Status</t>
        </is>
      </c>
    </row>
    <row r="2">
      <c r="A2" s="9" t="inlineStr">
        <is>
          <t>1.1</t>
        </is>
      </c>
      <c r="B2" s="9" t="n">
        <v>1</v>
      </c>
      <c r="C2" s="9" t="inlineStr">
        <is>
          <t>1 - Design &amp; Preparation</t>
        </is>
      </c>
      <c r="D2" s="9" t="inlineStr">
        <is>
          <t>Finalize IFRS 18 P&amp;L category design with group accounting team (Operating/Investing/Financing boundaries, subtotal definitions)</t>
        </is>
      </c>
      <c r="E2" s="9" t="inlineStr">
        <is>
          <t>Workshop - no transaction; output is a signed-off category definition document</t>
        </is>
      </c>
      <c r="F2" s="9" t="inlineStr">
        <is>
          <t>All</t>
        </is>
      </c>
      <c r="G2" s="9" t="inlineStr">
        <is>
          <t>Cross-cutting</t>
        </is>
      </c>
      <c r="H2" s="9" t="inlineStr">
        <is>
          <t>-</t>
        </is>
      </c>
      <c r="I2" s="9" t="inlineStr">
        <is>
          <t>FC + Accounting</t>
        </is>
      </c>
      <c r="J2" s="9" t="n">
        <v>3</v>
      </c>
      <c r="K2" s="10" t="n">
        <v>46217</v>
      </c>
      <c r="L2" s="10" t="n">
        <v>46221</v>
      </c>
      <c r="M2" s="9" t="n">
        <v>5</v>
      </c>
      <c r="N2" s="9" t="inlineStr">
        <is>
          <t>-</t>
        </is>
      </c>
      <c r="O2" s="9" t="inlineStr">
        <is>
          <t>Not Started</t>
        </is>
      </c>
    </row>
    <row r="3">
      <c r="A3" s="11" t="inlineStr">
        <is>
          <t>1.2</t>
        </is>
      </c>
      <c r="B3" s="11" t="n">
        <v>2</v>
      </c>
      <c r="C3" s="11" t="inlineStr">
        <is>
          <t>1 - Design &amp; Preparation</t>
        </is>
      </c>
      <c r="D3" s="11" t="inlineStr">
        <is>
          <t>Define new FSV hierarchy node structure for ZHFM, ZCPL, ZUKV (node IDs, parent-child relationships, G/L account assignments)</t>
        </is>
      </c>
      <c r="E3" s="11" t="inlineStr">
        <is>
          <t>Design doc for later use in OB58 (Financial Statement Version: Maintain)</t>
        </is>
      </c>
      <c r="F3" s="11" t="inlineStr">
        <is>
          <t>1</t>
        </is>
      </c>
      <c r="G3" s="11" t="inlineStr">
        <is>
          <t>IFRS Financial Statement Structure Definition</t>
        </is>
      </c>
      <c r="H3" s="11" t="inlineStr">
        <is>
          <t>CONFIG</t>
        </is>
      </c>
      <c r="I3" s="11" t="inlineStr">
        <is>
          <t>FC</t>
        </is>
      </c>
      <c r="J3" s="11" t="n">
        <v>5</v>
      </c>
      <c r="K3" s="12" t="n">
        <v>46217</v>
      </c>
      <c r="L3" s="12" t="n">
        <v>46224</v>
      </c>
      <c r="M3" s="11" t="n">
        <v>8</v>
      </c>
      <c r="N3" s="11" t="inlineStr">
        <is>
          <t>-</t>
        </is>
      </c>
      <c r="O3" s="11" t="inlineStr">
        <is>
          <t>Not Started</t>
        </is>
      </c>
    </row>
    <row r="4">
      <c r="A4" s="9" t="inlineStr">
        <is>
          <t>1.3</t>
        </is>
      </c>
      <c r="B4" s="9" t="n">
        <v>3</v>
      </c>
      <c r="C4" s="9" t="inlineStr">
        <is>
          <t>1 - Design &amp; Preparation</t>
        </is>
      </c>
      <c r="D4" s="9" t="inlineStr">
        <is>
          <t>Define new HFM structure positions and attribute flags (consolidation method, functional area, intercompany, movement type, region, sign reversal)</t>
        </is>
      </c>
      <c r="E4" s="9" t="inlineStr">
        <is>
          <t>Design doc for later use in SM30 on table /FIT/FI_F_STRUCT</t>
        </is>
      </c>
      <c r="F4" s="9" t="inlineStr">
        <is>
          <t>2, 3</t>
        </is>
      </c>
      <c r="G4" s="9" t="inlineStr">
        <is>
          <t>GAP 2, GAP 3</t>
        </is>
      </c>
      <c r="H4" s="9" t="inlineStr">
        <is>
          <t>-</t>
        </is>
      </c>
      <c r="I4" s="9" t="inlineStr">
        <is>
          <t>FC</t>
        </is>
      </c>
      <c r="J4" s="9" t="n">
        <v>3</v>
      </c>
      <c r="K4" s="10" t="n">
        <v>46222</v>
      </c>
      <c r="L4" s="10" t="n">
        <v>46226</v>
      </c>
      <c r="M4" s="9" t="n">
        <v>5</v>
      </c>
      <c r="N4" s="9" t="inlineStr">
        <is>
          <t>1.1</t>
        </is>
      </c>
      <c r="O4" s="9" t="inlineStr">
        <is>
          <t>Not Started</t>
        </is>
      </c>
    </row>
    <row r="5">
      <c r="A5" s="11" t="inlineStr">
        <is>
          <t>1.4</t>
        </is>
      </c>
      <c r="B5" s="11" t="n">
        <v>3</v>
      </c>
      <c r="C5" s="11" t="inlineStr">
        <is>
          <t>1 - Design &amp; Preparation</t>
        </is>
      </c>
      <c r="D5" s="11" t="inlineStr">
        <is>
          <t>Kick-off coordination with HFM team (new structure positions, receiving format)</t>
        </is>
      </c>
      <c r="E5" s="11" t="inlineStr">
        <is>
          <t>Meeting - no transaction</t>
        </is>
      </c>
      <c r="F5" s="11" t="inlineStr">
        <is>
          <t>3</t>
        </is>
      </c>
      <c r="G5" s="11" t="inlineStr">
        <is>
          <t>Financial Data Extraction for Group Consolidation</t>
        </is>
      </c>
      <c r="H5" s="11" t="inlineStr">
        <is>
          <t>INTERFACE, CONFIG</t>
        </is>
      </c>
      <c r="I5" s="11" t="inlineStr">
        <is>
          <t>FC + HFM</t>
        </is>
      </c>
      <c r="J5" s="11" t="n">
        <v>1</v>
      </c>
      <c r="K5" s="12" t="n">
        <v>46224</v>
      </c>
      <c r="L5" s="12" t="n">
        <v>46226</v>
      </c>
      <c r="M5" s="11" t="n">
        <v>3</v>
      </c>
      <c r="N5" s="11" t="inlineStr">
        <is>
          <t>-</t>
        </is>
      </c>
      <c r="O5" s="11" t="inlineStr">
        <is>
          <t>Not Started</t>
        </is>
      </c>
    </row>
    <row r="6">
      <c r="A6" s="9" t="inlineStr">
        <is>
          <t>1.5</t>
        </is>
      </c>
      <c r="B6" s="9" t="n">
        <v>3</v>
      </c>
      <c r="C6" s="9" t="inlineStr">
        <is>
          <t>1 - Design &amp; Preparation</t>
        </is>
      </c>
      <c r="D6" s="9" t="inlineStr">
        <is>
          <t>Kick-off coordination with Tagetik team (account code alignment)</t>
        </is>
      </c>
      <c r="E6" s="9" t="inlineStr">
        <is>
          <t>Meeting - no transaction</t>
        </is>
      </c>
      <c r="F6" s="9" t="inlineStr">
        <is>
          <t>7</t>
        </is>
      </c>
      <c r="G6" s="9" t="inlineStr">
        <is>
          <t>IFRS 16 Lease Accounting Data Loading</t>
        </is>
      </c>
      <c r="H6" s="9" t="inlineStr">
        <is>
          <t>CONFIG</t>
        </is>
      </c>
      <c r="I6" s="9" t="inlineStr">
        <is>
          <t>FC + Tagetik</t>
        </is>
      </c>
      <c r="J6" s="9" t="n">
        <v>1</v>
      </c>
      <c r="K6" s="10" t="n">
        <v>46224</v>
      </c>
      <c r="L6" s="10" t="n">
        <v>46226</v>
      </c>
      <c r="M6" s="9" t="n">
        <v>3</v>
      </c>
      <c r="N6" s="9" t="inlineStr">
        <is>
          <t>-</t>
        </is>
      </c>
      <c r="O6" s="9" t="inlineStr">
        <is>
          <t>Not Started</t>
        </is>
      </c>
    </row>
    <row r="7">
      <c r="A7" s="11" t="inlineStr">
        <is>
          <t>1.6</t>
        </is>
      </c>
      <c r="B7" s="11" t="n">
        <v>3</v>
      </c>
      <c r="C7" s="11" t="inlineStr">
        <is>
          <t>1 - Design &amp; Preparation</t>
        </is>
      </c>
      <c r="D7" s="11" t="inlineStr">
        <is>
          <t>Kick-off coordination with AMANA team (new category handling)</t>
        </is>
      </c>
      <c r="E7" s="11" t="inlineStr">
        <is>
          <t>Meeting - no transaction</t>
        </is>
      </c>
      <c r="F7" s="11" t="inlineStr">
        <is>
          <t>4</t>
        </is>
      </c>
      <c r="G7" s="11" t="inlineStr">
        <is>
          <t>Financial Statement Data Export</t>
        </is>
      </c>
      <c r="H7" s="11" t="inlineStr">
        <is>
          <t>INTERFACE</t>
        </is>
      </c>
      <c r="I7" s="11" t="inlineStr">
        <is>
          <t>FC + AMANA</t>
        </is>
      </c>
      <c r="J7" s="11" t="n">
        <v>0.5</v>
      </c>
      <c r="K7" s="12" t="n">
        <v>46224</v>
      </c>
      <c r="L7" s="12" t="n">
        <v>46226</v>
      </c>
      <c r="M7" s="11" t="n">
        <v>3</v>
      </c>
      <c r="N7" s="11" t="inlineStr">
        <is>
          <t>-</t>
        </is>
      </c>
      <c r="O7" s="11" t="inlineStr">
        <is>
          <t>Not Started</t>
        </is>
      </c>
    </row>
    <row r="8">
      <c r="A8" s="9" t="inlineStr">
        <is>
          <t>1.7</t>
        </is>
      </c>
      <c r="B8" s="9" t="n">
        <v>1</v>
      </c>
      <c r="C8" s="9" t="inlineStr">
        <is>
          <t>1 - Design &amp; Preparation</t>
        </is>
      </c>
      <c r="D8" s="9" t="inlineStr">
        <is>
          <t>Review and implement SAP Note 3670330 - check validity for current release, review all child notes (3694359, 3696338, 3700153), implement corrections via SNOTE</t>
        </is>
      </c>
      <c r="E8" s="9" t="inlineStr">
        <is>
          <t>SNOTE (Note Implementation) for Note 3670330 and its child notes</t>
        </is>
      </c>
      <c r="F8" s="9" t="inlineStr">
        <is>
          <t>SAPNOTE</t>
        </is>
      </c>
      <c r="G8" s="9" t="inlineStr">
        <is>
          <t>SAP Notes &amp; Treasury (added after reviewing Note 3670330 and the TRM open question)</t>
        </is>
      </c>
      <c r="H8" s="9" t="inlineStr">
        <is>
          <t>CONFIG + ADVISORY</t>
        </is>
      </c>
      <c r="I8" s="9" t="inlineStr">
        <is>
          <t>Basis + FC</t>
        </is>
      </c>
      <c r="J8" s="9" t="n">
        <v>2</v>
      </c>
      <c r="K8" s="10" t="n">
        <v>46217</v>
      </c>
      <c r="L8" s="10" t="n">
        <v>46220</v>
      </c>
      <c r="M8" s="9" t="n">
        <v>4</v>
      </c>
      <c r="N8" s="9" t="inlineStr">
        <is>
          <t>-</t>
        </is>
      </c>
      <c r="O8" s="9" t="inlineStr">
        <is>
          <t>Not Started</t>
        </is>
      </c>
    </row>
    <row r="9">
      <c r="A9" s="11" t="inlineStr">
        <is>
          <t>1.8</t>
        </is>
      </c>
      <c r="B9" s="11" t="n">
        <v>1</v>
      </c>
      <c r="C9" s="11" t="inlineStr">
        <is>
          <t>1 - Design &amp; Preparation</t>
        </is>
      </c>
      <c r="D9" s="11" t="inlineStr">
        <is>
          <t>Review SAP IFRS 18 webinar recordings (Feb/Mar 2026) for technical guidance</t>
        </is>
      </c>
      <c r="E9" s="11" t="inlineStr">
        <is>
          <t>External webinar review - no transaction</t>
        </is>
      </c>
      <c r="F9" s="11" t="inlineStr">
        <is>
          <t>SAPNOTE</t>
        </is>
      </c>
      <c r="G9" s="11" t="inlineStr">
        <is>
          <t>SAP Notes &amp; Treasury (added after reviewing Note 3670330 and the TRM open question)</t>
        </is>
      </c>
      <c r="H9" s="11" t="inlineStr">
        <is>
          <t>CONFIG + ADVISORY</t>
        </is>
      </c>
      <c r="I9" s="11" t="inlineStr">
        <is>
          <t>FC</t>
        </is>
      </c>
      <c r="J9" s="11" t="n">
        <v>1</v>
      </c>
      <c r="K9" s="12" t="n">
        <v>46217</v>
      </c>
      <c r="L9" s="12" t="n">
        <v>46218</v>
      </c>
      <c r="M9" s="11" t="n">
        <v>2</v>
      </c>
      <c r="N9" s="11" t="inlineStr">
        <is>
          <t>-</t>
        </is>
      </c>
      <c r="O9" s="11" t="inlineStr">
        <is>
          <t>Not Started</t>
        </is>
      </c>
    </row>
    <row r="10">
      <c r="A10" s="9" t="inlineStr">
        <is>
          <t>1.9</t>
        </is>
      </c>
      <c r="B10" s="9" t="n">
        <v>1</v>
      </c>
      <c r="C10" s="9" t="inlineStr">
        <is>
          <t>1 - Design &amp; Preparation</t>
        </is>
      </c>
      <c r="D10" s="9" t="inlineStr">
        <is>
          <t>Review treasury compliance blog and check for TRM-specific notes</t>
        </is>
      </c>
      <c r="E10" s="9" t="inlineStr">
        <is>
          <t>External blog / Support Portal search - no transaction</t>
        </is>
      </c>
      <c r="F10" s="9" t="inlineStr">
        <is>
          <t>SAPNOTE</t>
        </is>
      </c>
      <c r="G10" s="9" t="inlineStr">
        <is>
          <t>SAP Notes &amp; Treasury (added after reviewing Note 3670330 and the TRM open question)</t>
        </is>
      </c>
      <c r="H10" s="9" t="inlineStr">
        <is>
          <t>CONFIG + ADVISORY</t>
        </is>
      </c>
      <c r="I10" s="9" t="inlineStr">
        <is>
          <t>FC</t>
        </is>
      </c>
      <c r="J10" s="9" t="n">
        <v>0.5</v>
      </c>
      <c r="K10" s="10" t="n">
        <v>46217</v>
      </c>
      <c r="L10" s="10" t="n">
        <v>46218</v>
      </c>
      <c r="M10" s="9" t="n">
        <v>2</v>
      </c>
      <c r="N10" s="9" t="inlineStr">
        <is>
          <t>-</t>
        </is>
      </c>
      <c r="O10" s="9" t="inlineStr">
        <is>
          <t>Not Started</t>
        </is>
      </c>
    </row>
    <row r="11">
      <c r="A11" s="11" t="inlineStr">
        <is>
          <t>1.10</t>
        </is>
      </c>
      <c r="B11" s="11" t="n">
        <v>3</v>
      </c>
      <c r="C11" s="11" t="inlineStr">
        <is>
          <t>1 - Design &amp; Preparation</t>
        </is>
      </c>
      <c r="D11" s="11" t="inlineStr">
        <is>
          <t>Review treasury G/L accounts for IFRS 18 classification (interest, FX, dividends, fair value)</t>
        </is>
      </c>
      <c r="E11" s="11" t="inlineStr">
        <is>
          <t>SM30 / SE16N on TRM accounting-derivation config (Account Assignment Reference) and affected G/L accounts</t>
        </is>
      </c>
      <c r="F11" s="11" t="inlineStr">
        <is>
          <t>SAPNOTE</t>
        </is>
      </c>
      <c r="G11" s="11" t="inlineStr">
        <is>
          <t>SAP Notes &amp; Treasury (added after reviewing Note 3670330 and the TRM open question)</t>
        </is>
      </c>
      <c r="H11" s="11" t="inlineStr">
        <is>
          <t>CONFIG + ADVISORY</t>
        </is>
      </c>
      <c r="I11" s="11" t="inlineStr">
        <is>
          <t>FC + Treasury</t>
        </is>
      </c>
      <c r="J11" s="11" t="n">
        <v>2</v>
      </c>
      <c r="K11" s="12" t="n">
        <v>46220</v>
      </c>
      <c r="L11" s="12" t="n">
        <v>46224</v>
      </c>
      <c r="M11" s="11" t="n">
        <v>5</v>
      </c>
      <c r="N11" s="11" t="inlineStr">
        <is>
          <t>1.1</t>
        </is>
      </c>
      <c r="O11" s="11" t="inlineStr">
        <is>
          <t>Not Started</t>
        </is>
      </c>
    </row>
    <row r="12">
      <c r="A12" s="9" t="inlineStr">
        <is>
          <t>1.11</t>
        </is>
      </c>
      <c r="B12" s="9" t="n">
        <v>1</v>
      </c>
      <c r="C12" s="9" t="inlineStr">
        <is>
          <t>1 - Design &amp; Preparation</t>
        </is>
      </c>
      <c r="D12" s="9" t="inlineStr">
        <is>
          <t>Use 1SG content package restructured Income Statement as reference blueprint for FSV design</t>
        </is>
      </c>
      <c r="E12" s="9" t="inlineStr">
        <is>
          <t>Review of SAP Best Practice content (Scope Item 1SG) - reference only, no transaction in this landscape</t>
        </is>
      </c>
      <c r="F12" s="9" t="inlineStr">
        <is>
          <t>SAPNOTE</t>
        </is>
      </c>
      <c r="G12" s="9" t="inlineStr">
        <is>
          <t>SAP Notes &amp; Treasury (added after reviewing Note 3670330 and the TRM open question)</t>
        </is>
      </c>
      <c r="H12" s="9" t="inlineStr">
        <is>
          <t>CONFIG + ADVISORY</t>
        </is>
      </c>
      <c r="I12" s="9" t="inlineStr">
        <is>
          <t>FC</t>
        </is>
      </c>
      <c r="J12" s="9" t="n">
        <v>1</v>
      </c>
      <c r="K12" s="10" t="n">
        <v>46217</v>
      </c>
      <c r="L12" s="10" t="n">
        <v>46219</v>
      </c>
      <c r="M12" s="9" t="n">
        <v>3</v>
      </c>
      <c r="N12" s="9" t="inlineStr">
        <is>
          <t>-</t>
        </is>
      </c>
      <c r="O12" s="9" t="inlineStr">
        <is>
          <t>Not Started</t>
        </is>
      </c>
    </row>
    <row r="13">
      <c r="A13" s="11" t="inlineStr">
        <is>
          <t>2.1</t>
        </is>
      </c>
      <c r="B13" s="11" t="n">
        <v>4</v>
      </c>
      <c r="C13" s="11" t="inlineStr">
        <is>
          <t>2 - FSV Restructuring</t>
        </is>
      </c>
      <c r="D13" s="11" t="inlineStr">
        <is>
          <t>Restructure ZHFM via OB58: add Operating/Investing/Financing nodes, two subtotal nodes, reassign P&amp;L G/L accounts</t>
        </is>
      </c>
      <c r="E13" s="11" t="inlineStr">
        <is>
          <t>OB58 (FSV = ZHFM, chart of accounts ZFRE)</t>
        </is>
      </c>
      <c r="F13" s="11" t="inlineStr">
        <is>
          <t>1</t>
        </is>
      </c>
      <c r="G13" s="11" t="inlineStr">
        <is>
          <t>IFRS Financial Statement Structure Definition</t>
        </is>
      </c>
      <c r="H13" s="11" t="inlineStr">
        <is>
          <t>CONFIG</t>
        </is>
      </c>
      <c r="I13" s="11" t="inlineStr">
        <is>
          <t>FC</t>
        </is>
      </c>
      <c r="J13" s="11" t="n">
        <v>5</v>
      </c>
      <c r="K13" s="12" t="n">
        <v>46231</v>
      </c>
      <c r="L13" s="12" t="n">
        <v>46237</v>
      </c>
      <c r="M13" s="11" t="n">
        <v>7</v>
      </c>
      <c r="N13" s="11" t="inlineStr">
        <is>
          <t>1.2</t>
        </is>
      </c>
      <c r="O13" s="11" t="inlineStr">
        <is>
          <t>Not Started</t>
        </is>
      </c>
    </row>
    <row r="14">
      <c r="A14" s="9" t="inlineStr">
        <is>
          <t>2.2</t>
        </is>
      </c>
      <c r="B14" s="9" t="n">
        <v>5</v>
      </c>
      <c r="C14" s="9" t="inlineStr">
        <is>
          <t>2 - FSV Restructuring</t>
        </is>
      </c>
      <c r="D14" s="9" t="inlineStr">
        <is>
          <t>Restructure ZCPL via OB58: apply IFRS 18 structure for controlling P&amp;L</t>
        </is>
      </c>
      <c r="E14" s="9" t="inlineStr">
        <is>
          <t>OB58 (FSV = ZCPL)</t>
        </is>
      </c>
      <c r="F14" s="9" t="inlineStr">
        <is>
          <t>1</t>
        </is>
      </c>
      <c r="G14" s="9" t="inlineStr">
        <is>
          <t>IFRS Financial Statement Structure Definition</t>
        </is>
      </c>
      <c r="H14" s="9" t="inlineStr">
        <is>
          <t>CONFIG</t>
        </is>
      </c>
      <c r="I14" s="9" t="inlineStr">
        <is>
          <t>FC</t>
        </is>
      </c>
      <c r="J14" s="9" t="n">
        <v>3</v>
      </c>
      <c r="K14" s="10" t="n">
        <v>46238</v>
      </c>
      <c r="L14" s="10" t="n">
        <v>46242</v>
      </c>
      <c r="M14" s="9" t="n">
        <v>5</v>
      </c>
      <c r="N14" s="9" t="inlineStr">
        <is>
          <t>2.1</t>
        </is>
      </c>
      <c r="O14" s="9" t="inlineStr">
        <is>
          <t>Not Started</t>
        </is>
      </c>
    </row>
    <row r="15">
      <c r="A15" s="11" t="inlineStr">
        <is>
          <t>2.3</t>
        </is>
      </c>
      <c r="B15" s="11" t="n">
        <v>5</v>
      </c>
      <c r="C15" s="11" t="inlineStr">
        <is>
          <t>2 - FSV Restructuring</t>
        </is>
      </c>
      <c r="D15" s="11" t="inlineStr">
        <is>
          <t>Restructure ZUKV via OB58: apply IFRS 18 categories preserving cost-of-sales classification</t>
        </is>
      </c>
      <c r="E15" s="11" t="inlineStr">
        <is>
          <t>OB58 (FSV = ZUKV)</t>
        </is>
      </c>
      <c r="F15" s="11" t="inlineStr">
        <is>
          <t>1</t>
        </is>
      </c>
      <c r="G15" s="11" t="inlineStr">
        <is>
          <t>IFRS Financial Statement Structure Definition</t>
        </is>
      </c>
      <c r="H15" s="11" t="inlineStr">
        <is>
          <t>CONFIG</t>
        </is>
      </c>
      <c r="I15" s="11" t="inlineStr">
        <is>
          <t>FC</t>
        </is>
      </c>
      <c r="J15" s="11" t="n">
        <v>3</v>
      </c>
      <c r="K15" s="12" t="n">
        <v>46238</v>
      </c>
      <c r="L15" s="12" t="n">
        <v>46242</v>
      </c>
      <c r="M15" s="11" t="n">
        <v>5</v>
      </c>
      <c r="N15" s="11" t="inlineStr">
        <is>
          <t>2.1</t>
        </is>
      </c>
      <c r="O15" s="11" t="inlineStr">
        <is>
          <t>Not Started</t>
        </is>
      </c>
    </row>
    <row r="16">
      <c r="A16" s="9" t="inlineStr">
        <is>
          <t>2.4</t>
        </is>
      </c>
      <c r="B16" s="9" t="n">
        <v>6</v>
      </c>
      <c r="C16" s="9" t="inlineStr">
        <is>
          <t>2 - FSV Restructuring</t>
        </is>
      </c>
      <c r="D16" s="9" t="inlineStr">
        <is>
          <t>Unit test each FSV using standard financial statement reports (F.01 / RFBILA00)</t>
        </is>
      </c>
      <c r="E16" s="9" t="inlineStr">
        <is>
          <t>F.01 / RFBILA00 (or S_ALR_87012284), one run per FSV</t>
        </is>
      </c>
      <c r="F16" s="9" t="inlineStr">
        <is>
          <t>1</t>
        </is>
      </c>
      <c r="G16" s="9" t="inlineStr">
        <is>
          <t>IFRS Financial Statement Structure Definition</t>
        </is>
      </c>
      <c r="H16" s="9" t="inlineStr">
        <is>
          <t>CONFIG</t>
        </is>
      </c>
      <c r="I16" s="9" t="inlineStr">
        <is>
          <t>FC</t>
        </is>
      </c>
      <c r="J16" s="9" t="n">
        <v>2</v>
      </c>
      <c r="K16" s="10" t="n">
        <v>46243</v>
      </c>
      <c r="L16" s="10" t="n">
        <v>46245</v>
      </c>
      <c r="M16" s="9" t="n">
        <v>3</v>
      </c>
      <c r="N16" s="9" t="inlineStr">
        <is>
          <t>2.2</t>
        </is>
      </c>
      <c r="O16" s="9" t="inlineStr">
        <is>
          <t>Not Started</t>
        </is>
      </c>
    </row>
    <row r="17">
      <c r="A17" s="11" t="inlineStr">
        <is>
          <t>2.5</t>
        </is>
      </c>
      <c r="B17" s="11" t="n">
        <v>7</v>
      </c>
      <c r="C17" s="11" t="inlineStr">
        <is>
          <t>2 - FSV Restructuring</t>
        </is>
      </c>
      <c r="D17" s="11" t="inlineStr">
        <is>
          <t>Peer review of FSV structures with group accounting</t>
        </is>
      </c>
      <c r="E17" s="11" t="inlineStr">
        <is>
          <t>Review of OB58 output; meeting sign-off</t>
        </is>
      </c>
      <c r="F17" s="11" t="inlineStr">
        <is>
          <t>1</t>
        </is>
      </c>
      <c r="G17" s="11" t="inlineStr">
        <is>
          <t>IFRS Financial Statement Structure Definition</t>
        </is>
      </c>
      <c r="H17" s="11" t="inlineStr">
        <is>
          <t>CONFIG</t>
        </is>
      </c>
      <c r="I17" s="11" t="inlineStr">
        <is>
          <t>FC + Accounting</t>
        </is>
      </c>
      <c r="J17" s="11" t="n">
        <v>1</v>
      </c>
      <c r="K17" s="12" t="n">
        <v>46246</v>
      </c>
      <c r="L17" s="12" t="n">
        <v>46246</v>
      </c>
      <c r="M17" s="11" t="n">
        <v>1</v>
      </c>
      <c r="N17" s="11" t="inlineStr">
        <is>
          <t>2.4</t>
        </is>
      </c>
      <c r="O17" s="11" t="inlineStr">
        <is>
          <t>Not Started</t>
        </is>
      </c>
    </row>
    <row r="18">
      <c r="A18" s="9" t="inlineStr">
        <is>
          <t>3.1</t>
        </is>
      </c>
      <c r="B18" s="9" t="n">
        <v>8</v>
      </c>
      <c r="C18" s="9" t="inlineStr">
        <is>
          <t>3 - Configuration Updates</t>
        </is>
      </c>
      <c r="D18" s="9" t="inlineStr">
        <is>
          <t>Update /FIT/FI_F_STRUCT table entries via SM30 - add new IFRS 18 P&amp;L structure positions with attribute flags</t>
        </is>
      </c>
      <c r="E18" s="9" t="inlineStr">
        <is>
          <t>SM30 on table /FIT/FI_F_STRUCT (new position codes, 21xxxx range)</t>
        </is>
      </c>
      <c r="F18" s="9" t="inlineStr">
        <is>
          <t>2</t>
        </is>
      </c>
      <c r="G18" s="9" t="inlineStr">
        <is>
          <t>G/L Account to Consolidation Structure Mapping</t>
        </is>
      </c>
      <c r="H18" s="9" t="inlineStr">
        <is>
          <t>CONFIG</t>
        </is>
      </c>
      <c r="I18" s="9" t="inlineStr">
        <is>
          <t>FC</t>
        </is>
      </c>
      <c r="J18" s="9" t="n">
        <v>3</v>
      </c>
      <c r="K18" s="10" t="n">
        <v>46249</v>
      </c>
      <c r="L18" s="10" t="n">
        <v>46253</v>
      </c>
      <c r="M18" s="9" t="n">
        <v>5</v>
      </c>
      <c r="N18" s="9" t="inlineStr">
        <is>
          <t>2.5</t>
        </is>
      </c>
      <c r="O18" s="9" t="inlineStr">
        <is>
          <t>Not Started</t>
        </is>
      </c>
    </row>
    <row r="19">
      <c r="A19" s="11" t="inlineStr">
        <is>
          <t>3.2</t>
        </is>
      </c>
      <c r="B19" s="11" t="n">
        <v>9</v>
      </c>
      <c r="C19" s="11" t="inlineStr">
        <is>
          <t>3 - Configuration Updates</t>
        </is>
      </c>
      <c r="D19" s="11" t="inlineStr">
        <is>
          <t>Re-execute mapping program /FIT/FI_D_HFM_BIL_ZUORD_001 (ZHFMB0) with delete-and-regenerate</t>
        </is>
      </c>
      <c r="E19" s="11" t="inlineStr">
        <is>
          <t>ZHFMB0 (program /FIT/FI_D_HFM_BIL_ZUORD_001); FSV=ZHFM, principle=GRUP, COA=ZFRE, delete flag=X</t>
        </is>
      </c>
      <c r="F19" s="11" t="inlineStr">
        <is>
          <t>2</t>
        </is>
      </c>
      <c r="G19" s="11" t="inlineStr">
        <is>
          <t>G/L Account to Consolidation Structure Mapping</t>
        </is>
      </c>
      <c r="H19" s="11" t="inlineStr">
        <is>
          <t>CONFIG</t>
        </is>
      </c>
      <c r="I19" s="11" t="inlineStr">
        <is>
          <t>FC</t>
        </is>
      </c>
      <c r="J19" s="11" t="n">
        <v>0.5</v>
      </c>
      <c r="K19" s="12" t="n">
        <v>46254</v>
      </c>
      <c r="L19" s="12" t="n">
        <v>46256</v>
      </c>
      <c r="M19" s="11" t="n">
        <v>3</v>
      </c>
      <c r="N19" s="11" t="inlineStr">
        <is>
          <t>3.1</t>
        </is>
      </c>
      <c r="O19" s="11" t="inlineStr">
        <is>
          <t>Not Started</t>
        </is>
      </c>
    </row>
    <row r="20">
      <c r="A20" s="9" t="inlineStr">
        <is>
          <t>3.3</t>
        </is>
      </c>
      <c r="B20" s="9" t="n">
        <v>10</v>
      </c>
      <c r="C20" s="9" t="inlineStr">
        <is>
          <t>3 - Configuration Updates</t>
        </is>
      </c>
      <c r="D20" s="9" t="inlineStr">
        <is>
          <t>Validate regenerated /FIT/FI_F_HKONT mapping - verify all P&amp;L accounts map to correct new positions, BS mappings intact</t>
        </is>
      </c>
      <c r="E20" s="9" t="inlineStr">
        <is>
          <t>SE16N (display table /FIT/FI_F_HKONT)</t>
        </is>
      </c>
      <c r="F20" s="9" t="inlineStr">
        <is>
          <t>2</t>
        </is>
      </c>
      <c r="G20" s="9" t="inlineStr">
        <is>
          <t>G/L Account to Consolidation Structure Mapping</t>
        </is>
      </c>
      <c r="H20" s="9" t="inlineStr">
        <is>
          <t>CONFIG</t>
        </is>
      </c>
      <c r="I20" s="9" t="inlineStr">
        <is>
          <t>FC</t>
        </is>
      </c>
      <c r="J20" s="9" t="n">
        <v>2</v>
      </c>
      <c r="K20" s="10" t="n">
        <v>46257</v>
      </c>
      <c r="L20" s="10" t="n">
        <v>46259</v>
      </c>
      <c r="M20" s="9" t="n">
        <v>3</v>
      </c>
      <c r="N20" s="9" t="inlineStr">
        <is>
          <t>3.2</t>
        </is>
      </c>
      <c r="O20" s="9" t="inlineStr">
        <is>
          <t>Not Started</t>
        </is>
      </c>
    </row>
    <row r="21">
      <c r="A21" s="11" t="inlineStr">
        <is>
          <t>3.4</t>
        </is>
      </c>
      <c r="B21" s="11" t="n">
        <v>8</v>
      </c>
      <c r="C21" s="11" t="inlineStr">
        <is>
          <t>3 - Configuration Updates</t>
        </is>
      </c>
      <c r="D21" s="11" t="inlineStr">
        <is>
          <t>Review all 510 entries in ZFI_IFRS16 mapping table - verify G/L accounts for depreciation (670xxx -&gt; Operating) and interest (661xxx -&gt; Financing) are correctly classified</t>
        </is>
      </c>
      <c r="E21" s="11" t="inlineStr">
        <is>
          <t>ZFI_IFRS16_MAPPING / SM30 on table ZFI_IFRS16</t>
        </is>
      </c>
      <c r="F21" s="11" t="inlineStr">
        <is>
          <t>7</t>
        </is>
      </c>
      <c r="G21" s="11" t="inlineStr">
        <is>
          <t>IFRS 16 Lease Accounting Data Loading</t>
        </is>
      </c>
      <c r="H21" s="11" t="inlineStr">
        <is>
          <t>CONFIG</t>
        </is>
      </c>
      <c r="I21" s="11" t="inlineStr">
        <is>
          <t>FC</t>
        </is>
      </c>
      <c r="J21" s="11" t="n">
        <v>2</v>
      </c>
      <c r="K21" s="12" t="n">
        <v>46249</v>
      </c>
      <c r="L21" s="12" t="n">
        <v>46253</v>
      </c>
      <c r="M21" s="11" t="n">
        <v>5</v>
      </c>
      <c r="N21" s="11" t="inlineStr">
        <is>
          <t>2.5</t>
        </is>
      </c>
      <c r="O21" s="11" t="inlineStr">
        <is>
          <t>Not Started</t>
        </is>
      </c>
    </row>
    <row r="22">
      <c r="A22" s="9" t="inlineStr">
        <is>
          <t>3.5</t>
        </is>
      </c>
      <c r="B22" s="9" t="n">
        <v>10</v>
      </c>
      <c r="C22" s="9" t="inlineStr">
        <is>
          <t>3 - Configuration Updates</t>
        </is>
      </c>
      <c r="D22" s="9" t="inlineStr">
        <is>
          <t>Update ZFI_IFRS16 entries if chart of accounts changes or Tagetik introduces new codes</t>
        </is>
      </c>
      <c r="E22" s="9" t="inlineStr">
        <is>
          <t>ZFI_IFRS16_MAPPING / SM30 on table ZFI_IFRS16 (field HKONT / TAGETIC_ACCOUNT)</t>
        </is>
      </c>
      <c r="F22" s="9" t="inlineStr">
        <is>
          <t>7</t>
        </is>
      </c>
      <c r="G22" s="9" t="inlineStr">
        <is>
          <t>IFRS 16 Lease Accounting Data Loading</t>
        </is>
      </c>
      <c r="H22" s="9" t="inlineStr">
        <is>
          <t>CONFIG</t>
        </is>
      </c>
      <c r="I22" s="9" t="inlineStr">
        <is>
          <t>FC</t>
        </is>
      </c>
      <c r="J22" s="9" t="n">
        <v>1</v>
      </c>
      <c r="K22" s="10" t="n">
        <v>46254</v>
      </c>
      <c r="L22" s="10" t="n">
        <v>46256</v>
      </c>
      <c r="M22" s="9" t="n">
        <v>3</v>
      </c>
      <c r="N22" s="9" t="inlineStr">
        <is>
          <t>3.4</t>
        </is>
      </c>
      <c r="O22" s="9" t="inlineStr">
        <is>
          <t>Not Started</t>
        </is>
      </c>
    </row>
    <row r="23">
      <c r="A23" s="11" t="inlineStr">
        <is>
          <t>3.6</t>
        </is>
      </c>
      <c r="B23" s="11" t="n">
        <v>8</v>
      </c>
      <c r="C23" s="11" t="inlineStr">
        <is>
          <t>3 - Configuration Updates</t>
        </is>
      </c>
      <c r="D23" s="11" t="inlineStr">
        <is>
          <t>Activate Fiori apps F0708 and W0161 in Fiori Launchpad</t>
        </is>
      </c>
      <c r="E23" s="11" t="inlineStr">
        <is>
          <t>/UI2/FLPD_CUST (Fiori Launchpad Designer) - activate F0708, W0161</t>
        </is>
      </c>
      <c r="F23" s="11" t="inlineStr">
        <is>
          <t>4</t>
        </is>
      </c>
      <c r="G23" s="11" t="inlineStr">
        <is>
          <t>Financial Statement Data Export</t>
        </is>
      </c>
      <c r="H23" s="11" t="inlineStr">
        <is>
          <t>INTERFACE</t>
        </is>
      </c>
      <c r="I23" s="11" t="inlineStr">
        <is>
          <t>Basis/FC</t>
        </is>
      </c>
      <c r="J23" s="11" t="n">
        <v>1</v>
      </c>
      <c r="K23" s="12" t="n">
        <v>46249</v>
      </c>
      <c r="L23" s="12" t="n">
        <v>46251</v>
      </c>
      <c r="M23" s="11" t="n">
        <v>3</v>
      </c>
      <c r="N23" s="11" t="inlineStr">
        <is>
          <t>2.5</t>
        </is>
      </c>
      <c r="O23" s="11" t="inlineStr">
        <is>
          <t>Not Started</t>
        </is>
      </c>
    </row>
    <row r="24">
      <c r="A24" s="9" t="inlineStr">
        <is>
          <t>3.7</t>
        </is>
      </c>
      <c r="B24" s="9" t="n">
        <v>10</v>
      </c>
      <c r="C24" s="9" t="inlineStr">
        <is>
          <t>3 - Configuration Updates</t>
        </is>
      </c>
      <c r="D24" s="9" t="inlineStr">
        <is>
          <t>Configure Fiori apps for IFRS FSVs (ZHFM, ZCPL, ZUKV)</t>
        </is>
      </c>
      <c r="E24" s="9" t="inlineStr">
        <is>
          <t>F0708 / W0161 app configuration - bind default FSV parameters</t>
        </is>
      </c>
      <c r="F24" s="9" t="inlineStr">
        <is>
          <t>4</t>
        </is>
      </c>
      <c r="G24" s="9" t="inlineStr">
        <is>
          <t>Financial Statement Data Export</t>
        </is>
      </c>
      <c r="H24" s="9" t="inlineStr">
        <is>
          <t>INTERFACE</t>
        </is>
      </c>
      <c r="I24" s="9" t="inlineStr">
        <is>
          <t>FC</t>
        </is>
      </c>
      <c r="J24" s="9" t="n">
        <v>1</v>
      </c>
      <c r="K24" s="10" t="n">
        <v>46252</v>
      </c>
      <c r="L24" s="10" t="n">
        <v>46253</v>
      </c>
      <c r="M24" s="9" t="n">
        <v>2</v>
      </c>
      <c r="N24" s="9" t="inlineStr">
        <is>
          <t>3.6</t>
        </is>
      </c>
      <c r="O24" s="9" t="inlineStr">
        <is>
          <t>Not Started</t>
        </is>
      </c>
    </row>
    <row r="25">
      <c r="A25" s="11" t="inlineStr">
        <is>
          <t>3.8</t>
        </is>
      </c>
      <c r="B25" s="11" t="n">
        <v>8</v>
      </c>
      <c r="C25" s="11" t="inlineStr">
        <is>
          <t>3 - Configuration Updates</t>
        </is>
      </c>
      <c r="D25" s="11" t="inlineStr">
        <is>
          <t>Apply SAP Note 3670330 child notes / corrections to CSD via SNOTE</t>
        </is>
      </c>
      <c r="E25" s="11" t="inlineStr">
        <is>
          <t>SNOTE (Note Implementation)</t>
        </is>
      </c>
      <c r="F25" s="11" t="inlineStr">
        <is>
          <t>SAPNOTE</t>
        </is>
      </c>
      <c r="G25" s="11" t="inlineStr">
        <is>
          <t>SAP Notes &amp; Treasury (added after reviewing Note 3670330 and the TRM open question)</t>
        </is>
      </c>
      <c r="H25" s="11" t="inlineStr">
        <is>
          <t>CONFIG + ADVISORY</t>
        </is>
      </c>
      <c r="I25" s="11" t="inlineStr">
        <is>
          <t>Basis</t>
        </is>
      </c>
      <c r="J25" s="11" t="n">
        <v>1</v>
      </c>
      <c r="K25" s="12" t="n">
        <v>46249</v>
      </c>
      <c r="L25" s="12" t="n">
        <v>46250</v>
      </c>
      <c r="M25" s="11" t="n">
        <v>2</v>
      </c>
      <c r="N25" s="11" t="inlineStr">
        <is>
          <t>1.7</t>
        </is>
      </c>
      <c r="O25" s="11" t="inlineStr">
        <is>
          <t>Not Started</t>
        </is>
      </c>
    </row>
    <row r="26">
      <c r="A26" s="9" t="inlineStr">
        <is>
          <t>3.9</t>
        </is>
      </c>
      <c r="B26" s="9" t="n">
        <v>8</v>
      </c>
      <c r="C26" s="9" t="inlineStr">
        <is>
          <t>3 - Configuration Updates</t>
        </is>
      </c>
      <c r="D26" s="9" t="inlineStr">
        <is>
          <t>Verify new semantic tags for Operating Profit and Profit before Financing and Income Tax</t>
        </is>
      </c>
      <c r="E26" s="9" t="inlineStr">
        <is>
          <t>OB58 hierarchy node semantic-tag assignment; KPI framework config</t>
        </is>
      </c>
      <c r="F26" s="9" t="inlineStr">
        <is>
          <t>SAPNOTE</t>
        </is>
      </c>
      <c r="G26" s="9" t="inlineStr">
        <is>
          <t>SAP Notes &amp; Treasury (added after reviewing Note 3670330 and the TRM open question)</t>
        </is>
      </c>
      <c r="H26" s="9" t="inlineStr">
        <is>
          <t>CONFIG + ADVISORY</t>
        </is>
      </c>
      <c r="I26" s="9" t="inlineStr">
        <is>
          <t>FC</t>
        </is>
      </c>
      <c r="J26" s="9" t="n">
        <v>1</v>
      </c>
      <c r="K26" s="10" t="n">
        <v>46249</v>
      </c>
      <c r="L26" s="10" t="n">
        <v>46250</v>
      </c>
      <c r="M26" s="9" t="n">
        <v>2</v>
      </c>
      <c r="N26" s="9" t="inlineStr">
        <is>
          <t>1.7</t>
        </is>
      </c>
      <c r="O26" s="9" t="inlineStr">
        <is>
          <t>Not Started</t>
        </is>
      </c>
    </row>
    <row r="27">
      <c r="A27" s="11" t="inlineStr">
        <is>
          <t>4.1</t>
        </is>
      </c>
      <c r="B27" s="11" t="n">
        <v>8</v>
      </c>
      <c r="C27" s="11" t="inlineStr">
        <is>
          <t>4 - Development</t>
        </is>
      </c>
      <c r="D27" s="11" t="inlineStr">
        <is>
          <t>Evaluate whether FG/FX document type exclusion is still a business requirement</t>
        </is>
      </c>
      <c r="E27" s="11" t="inlineStr">
        <is>
          <t>Business decision workshop - no transaction</t>
        </is>
      </c>
      <c r="F27" s="11" t="inlineStr">
        <is>
          <t>5</t>
        </is>
      </c>
      <c r="G27" s="11" t="inlineStr">
        <is>
          <t>Income Statement Reporting (Cost of Sales)</t>
        </is>
      </c>
      <c r="H27" s="11" t="inlineStr">
        <is>
          <t>REPORT</t>
        </is>
      </c>
      <c r="I27" s="11" t="inlineStr">
        <is>
          <t>FC + Dev</t>
        </is>
      </c>
      <c r="J27" s="11" t="n">
        <v>1</v>
      </c>
      <c r="K27" s="12" t="n">
        <v>46249</v>
      </c>
      <c r="L27" s="12" t="n">
        <v>46250</v>
      </c>
      <c r="M27" s="11" t="n">
        <v>2</v>
      </c>
      <c r="N27" s="11" t="inlineStr">
        <is>
          <t>2.5</t>
        </is>
      </c>
      <c r="O27" s="11" t="inlineStr">
        <is>
          <t>Not Started</t>
        </is>
      </c>
    </row>
    <row r="28">
      <c r="A28" s="9" t="inlineStr">
        <is>
          <t>4.2</t>
        </is>
      </c>
      <c r="B28" s="9" t="n">
        <v>9</v>
      </c>
      <c r="C28" s="9" t="inlineStr">
        <is>
          <t>4 - Development</t>
        </is>
      </c>
      <c r="D28" s="9" t="inlineStr">
        <is>
          <t>Create custom analytical query on I_JournalEntryItemCube via Custom Analytical Queries app (P&amp;L filter + functional area classification)</t>
        </is>
      </c>
      <c r="E28" s="9" t="inlineStr">
        <is>
          <t>Custom Analytical Queries app (Fiori) on CDS view I_JournalEntryItemCube</t>
        </is>
      </c>
      <c r="F28" s="9" t="inlineStr">
        <is>
          <t>5</t>
        </is>
      </c>
      <c r="G28" s="9" t="inlineStr">
        <is>
          <t>Income Statement Reporting (Cost of Sales)</t>
        </is>
      </c>
      <c r="H28" s="9" t="inlineStr">
        <is>
          <t>REPORT</t>
        </is>
      </c>
      <c r="I28" s="9" t="inlineStr">
        <is>
          <t>FC/Dev</t>
        </is>
      </c>
      <c r="J28" s="9" t="n">
        <v>3</v>
      </c>
      <c r="K28" s="10" t="n">
        <v>46251</v>
      </c>
      <c r="L28" s="10" t="n">
        <v>46255</v>
      </c>
      <c r="M28" s="9" t="n">
        <v>5</v>
      </c>
      <c r="N28" s="9" t="inlineStr">
        <is>
          <t>4.1</t>
        </is>
      </c>
      <c r="O28" s="9" t="inlineStr">
        <is>
          <t>Not Started</t>
        </is>
      </c>
    </row>
    <row r="29">
      <c r="A29" s="11" t="inlineStr">
        <is>
          <t>4.3</t>
        </is>
      </c>
      <c r="B29" s="11" t="n">
        <v>9</v>
      </c>
      <c r="C29" s="11" t="inlineStr">
        <is>
          <t>4 - Development</t>
        </is>
      </c>
      <c r="D29" s="11" t="inlineStr">
        <is>
          <t>Optional: Create CDS view extension on I_JournalEntryItemCube for FG/FX filtering (if required)</t>
        </is>
      </c>
      <c r="E29" s="11" t="inlineStr">
        <is>
          <t>ADT/Eclipse - DDLS extend view on I_JournalEntryItemCube; SE09/SE10 transport</t>
        </is>
      </c>
      <c r="F29" s="11" t="inlineStr">
        <is>
          <t>5</t>
        </is>
      </c>
      <c r="G29" s="11" t="inlineStr">
        <is>
          <t>Income Statement Reporting (Cost of Sales)</t>
        </is>
      </c>
      <c r="H29" s="11" t="inlineStr">
        <is>
          <t>REPORT</t>
        </is>
      </c>
      <c r="I29" s="11" t="inlineStr">
        <is>
          <t>Dev</t>
        </is>
      </c>
      <c r="J29" s="11" t="n">
        <v>2</v>
      </c>
      <c r="K29" s="12" t="n">
        <v>46251</v>
      </c>
      <c r="L29" s="12" t="n">
        <v>46254</v>
      </c>
      <c r="M29" s="11" t="n">
        <v>4</v>
      </c>
      <c r="N29" s="11" t="inlineStr">
        <is>
          <t>4.1</t>
        </is>
      </c>
      <c r="O29" s="11" t="inlineStr">
        <is>
          <t>Not Started</t>
        </is>
      </c>
    </row>
    <row r="30">
      <c r="A30" s="9" t="inlineStr">
        <is>
          <t>4.4</t>
        </is>
      </c>
      <c r="B30" s="9" t="n">
        <v>8</v>
      </c>
      <c r="C30" s="9" t="inlineStr">
        <is>
          <t>4 - Development</t>
        </is>
      </c>
      <c r="D30" s="9" t="inlineStr">
        <is>
          <t>Update ZI_GLAcctBalanceCube CASE WHEN statement - replace hardcoded ZHFM hierarchy node IDs with new node IDs from restructured hierarchy</t>
        </is>
      </c>
      <c r="E30" s="9" t="inlineStr">
        <is>
          <t>ADT/Eclipse - CDS view ZI_GLAcctBalanceCube source; SE09/SE10 transport</t>
        </is>
      </c>
      <c r="F30" s="9" t="inlineStr">
        <is>
          <t>6</t>
        </is>
      </c>
      <c r="G30" s="9" t="inlineStr">
        <is>
          <t>Working Capital Balance Sheet Reporting</t>
        </is>
      </c>
      <c r="H30" s="9" t="inlineStr">
        <is>
          <t>ENHANCEMENT</t>
        </is>
      </c>
      <c r="I30" s="9" t="inlineStr">
        <is>
          <t>Dev</t>
        </is>
      </c>
      <c r="J30" s="9" t="n">
        <v>1</v>
      </c>
      <c r="K30" s="10" t="n">
        <v>46249</v>
      </c>
      <c r="L30" s="10" t="n">
        <v>46251</v>
      </c>
      <c r="M30" s="9" t="n">
        <v>3</v>
      </c>
      <c r="N30" s="9" t="inlineStr">
        <is>
          <t>2.5</t>
        </is>
      </c>
      <c r="O30" s="9" t="inlineStr">
        <is>
          <t>Not Started</t>
        </is>
      </c>
    </row>
    <row r="31">
      <c r="A31" s="11" t="inlineStr">
        <is>
          <t>4.5</t>
        </is>
      </c>
      <c r="B31" s="11" t="n">
        <v>10</v>
      </c>
      <c r="C31" s="11" t="inlineStr">
        <is>
          <t>4 - Development</t>
        </is>
      </c>
      <c r="D31" s="11" t="inlineStr">
        <is>
          <t>Verify ZC_WORKINGCAPITAL_Q001 downstream - confirm hierarchy filter binding still valid</t>
        </is>
      </c>
      <c r="E31" s="11" t="inlineStr">
        <is>
          <t>ADT/Eclipse or RSRT - query ZC_WORKINGCAPITAL_Q001 filter binding</t>
        </is>
      </c>
      <c r="F31" s="11" t="inlineStr">
        <is>
          <t>6</t>
        </is>
      </c>
      <c r="G31" s="11" t="inlineStr">
        <is>
          <t>Working Capital Balance Sheet Reporting</t>
        </is>
      </c>
      <c r="H31" s="11" t="inlineStr">
        <is>
          <t>ENHANCEMENT</t>
        </is>
      </c>
      <c r="I31" s="11" t="inlineStr">
        <is>
          <t>Dev</t>
        </is>
      </c>
      <c r="J31" s="11" t="n">
        <v>0.5</v>
      </c>
      <c r="K31" s="12" t="n">
        <v>46252</v>
      </c>
      <c r="L31" s="12" t="n">
        <v>46252</v>
      </c>
      <c r="M31" s="11" t="n">
        <v>1</v>
      </c>
      <c r="N31" s="11" t="inlineStr">
        <is>
          <t>4.4</t>
        </is>
      </c>
      <c r="O31" s="11" t="inlineStr">
        <is>
          <t>Not Started</t>
        </is>
      </c>
    </row>
    <row r="32">
      <c r="A32" s="9" t="inlineStr">
        <is>
          <t>4.6</t>
        </is>
      </c>
      <c r="B32" s="9" t="n">
        <v>10</v>
      </c>
      <c r="C32" s="9" t="inlineStr">
        <is>
          <t>4 - Development</t>
        </is>
      </c>
      <c r="D32" s="9" t="inlineStr">
        <is>
          <t>Evaluate SAC prototype views (ZP_WORKINGCAPITAL_ITEM etc.) for retirement</t>
        </is>
      </c>
      <c r="E32" s="9" t="inlineStr">
        <is>
          <t>SAP Analytics Cloud review - no ABAP transaction</t>
        </is>
      </c>
      <c r="F32" s="9" t="inlineStr">
        <is>
          <t>6</t>
        </is>
      </c>
      <c r="G32" s="9" t="inlineStr">
        <is>
          <t>Working Capital Balance Sheet Reporting</t>
        </is>
      </c>
      <c r="H32" s="9" t="inlineStr">
        <is>
          <t>ENHANCEMENT</t>
        </is>
      </c>
      <c r="I32" s="9" t="inlineStr">
        <is>
          <t>Dev</t>
        </is>
      </c>
      <c r="J32" s="9" t="n">
        <v>0.5</v>
      </c>
      <c r="K32" s="10" t="n">
        <v>46252</v>
      </c>
      <c r="L32" s="10" t="n">
        <v>46252</v>
      </c>
      <c r="M32" s="9" t="n">
        <v>1</v>
      </c>
      <c r="N32" s="9" t="inlineStr">
        <is>
          <t>4.4</t>
        </is>
      </c>
      <c r="O32" s="9" t="inlineStr">
        <is>
          <t>Not Started</t>
        </is>
      </c>
    </row>
    <row r="33">
      <c r="A33" s="11" t="inlineStr">
        <is>
          <t>4.7</t>
        </is>
      </c>
      <c r="B33" s="11" t="n">
        <v>11</v>
      </c>
      <c r="C33" s="11" t="inlineStr">
        <is>
          <t>4 - Development</t>
        </is>
      </c>
      <c r="D33" s="11" t="inlineStr">
        <is>
          <t>Unit test new P&amp;L analytical query - compare output with ZC_PROFITANDLOSS_UKV for reference period</t>
        </is>
      </c>
      <c r="E33" s="11" t="inlineStr">
        <is>
          <t>Run new query + ZC_PROFITANDLOSS_UKV via Fiori / Analysis for Office</t>
        </is>
      </c>
      <c r="F33" s="11" t="inlineStr">
        <is>
          <t>5</t>
        </is>
      </c>
      <c r="G33" s="11" t="inlineStr">
        <is>
          <t>Income Statement Reporting (Cost of Sales)</t>
        </is>
      </c>
      <c r="H33" s="11" t="inlineStr">
        <is>
          <t>REPORT</t>
        </is>
      </c>
      <c r="I33" s="11" t="inlineStr">
        <is>
          <t>FC</t>
        </is>
      </c>
      <c r="J33" s="11" t="n">
        <v>2</v>
      </c>
      <c r="K33" s="12" t="n">
        <v>46256</v>
      </c>
      <c r="L33" s="12" t="n">
        <v>46259</v>
      </c>
      <c r="M33" s="11" t="n">
        <v>4</v>
      </c>
      <c r="N33" s="11" t="inlineStr">
        <is>
          <t>4.2</t>
        </is>
      </c>
      <c r="O33" s="11" t="inlineStr">
        <is>
          <t>Not Started</t>
        </is>
      </c>
    </row>
    <row r="34">
      <c r="A34" s="9" t="inlineStr">
        <is>
          <t>4.8</t>
        </is>
      </c>
      <c r="B34" s="9" t="n">
        <v>11</v>
      </c>
      <c r="C34" s="9" t="inlineStr">
        <is>
          <t>4 - Development</t>
        </is>
      </c>
      <c r="D34" s="9" t="inlineStr">
        <is>
          <t>Unit test working capital report - validate all 5 categories produce correct balances</t>
        </is>
      </c>
      <c r="E34" s="9" t="inlineStr">
        <is>
          <t>Run working-capital report (Fiori app on ZC_WORKINGCAPITAL_Q001)</t>
        </is>
      </c>
      <c r="F34" s="9" t="inlineStr">
        <is>
          <t>6</t>
        </is>
      </c>
      <c r="G34" s="9" t="inlineStr">
        <is>
          <t>Working Capital Balance Sheet Reporting</t>
        </is>
      </c>
      <c r="H34" s="9" t="inlineStr">
        <is>
          <t>ENHANCEMENT</t>
        </is>
      </c>
      <c r="I34" s="9" t="inlineStr">
        <is>
          <t>FC</t>
        </is>
      </c>
      <c r="J34" s="9" t="n">
        <v>1</v>
      </c>
      <c r="K34" s="10" t="n">
        <v>46253</v>
      </c>
      <c r="L34" s="10" t="n">
        <v>46254</v>
      </c>
      <c r="M34" s="9" t="n">
        <v>2</v>
      </c>
      <c r="N34" s="9" t="inlineStr">
        <is>
          <t>4.4</t>
        </is>
      </c>
      <c r="O34" s="9" t="inlineStr">
        <is>
          <t>Not Started</t>
        </is>
      </c>
    </row>
    <row r="35">
      <c r="A35" s="11" t="inlineStr">
        <is>
          <t>5.1</t>
        </is>
      </c>
      <c r="B35" s="11" t="n">
        <v>11</v>
      </c>
      <c r="C35" s="11" t="inlineStr">
        <is>
          <t>5 - Interface Validation</t>
        </is>
      </c>
      <c r="D35" s="11" t="inlineStr">
        <is>
          <t>Run HFM extraction in simulation mode (PX_SIMUL = 'X') via ZHFM01</t>
        </is>
      </c>
      <c r="E35" s="11" t="inlineStr">
        <is>
          <t>ZHFM01 (program /FIT/FI_D_HFM_INTF_001); parameter PX_SIMUL = 'X'</t>
        </is>
      </c>
      <c r="F35" s="11" t="inlineStr">
        <is>
          <t>3</t>
        </is>
      </c>
      <c r="G35" s="11" t="inlineStr">
        <is>
          <t>Financial Data Extraction for Group Consolidation</t>
        </is>
      </c>
      <c r="H35" s="11" t="inlineStr">
        <is>
          <t>INTERFACE, CONFIG</t>
        </is>
      </c>
      <c r="I35" s="11" t="inlineStr">
        <is>
          <t>FC</t>
        </is>
      </c>
      <c r="J35" s="11" t="n">
        <v>1</v>
      </c>
      <c r="K35" s="12" t="n">
        <v>46260</v>
      </c>
      <c r="L35" s="12" t="n">
        <v>46263</v>
      </c>
      <c r="M35" s="11" t="n">
        <v>4</v>
      </c>
      <c r="N35" s="11" t="inlineStr">
        <is>
          <t>3.3</t>
        </is>
      </c>
      <c r="O35" s="11" t="inlineStr">
        <is>
          <t>Not Started</t>
        </is>
      </c>
    </row>
    <row r="36">
      <c r="A36" s="9" t="inlineStr">
        <is>
          <t>5.2</t>
        </is>
      </c>
      <c r="B36" s="9" t="n">
        <v>12</v>
      </c>
      <c r="C36" s="9" t="inlineStr">
        <is>
          <t>5 - Interface Validation</t>
        </is>
      </c>
      <c r="D36" s="9" t="inlineStr">
        <is>
          <t>Validate HFM output file format against HFM expected input - verify new structure positions appear correctly in aggregation pipeline (INTF1-&gt;4)</t>
        </is>
      </c>
      <c r="E36" s="9" t="inlineStr">
        <is>
          <t>ZHFM10 (program /FIT/FI_D_HFM_INTF_010); AL11 / app server output review</t>
        </is>
      </c>
      <c r="F36" s="9" t="inlineStr">
        <is>
          <t>3</t>
        </is>
      </c>
      <c r="G36" s="9" t="inlineStr">
        <is>
          <t>Financial Data Extraction for Group Consolidation</t>
        </is>
      </c>
      <c r="H36" s="9" t="inlineStr">
        <is>
          <t>INTERFACE, CONFIG</t>
        </is>
      </c>
      <c r="I36" s="9" t="inlineStr">
        <is>
          <t>FC + HFM</t>
        </is>
      </c>
      <c r="J36" s="9" t="n">
        <v>2</v>
      </c>
      <c r="K36" s="10" t="n">
        <v>46264</v>
      </c>
      <c r="L36" s="10" t="n">
        <v>46267</v>
      </c>
      <c r="M36" s="9" t="n">
        <v>4</v>
      </c>
      <c r="N36" s="9" t="inlineStr">
        <is>
          <t>5.1</t>
        </is>
      </c>
      <c r="O36" s="9" t="inlineStr">
        <is>
          <t>Not Started</t>
        </is>
      </c>
    </row>
    <row r="37">
      <c r="A37" s="11" t="inlineStr">
        <is>
          <t>5.3</t>
        </is>
      </c>
      <c r="B37" s="11" t="n">
        <v>11</v>
      </c>
      <c r="C37" s="11" t="inlineStr">
        <is>
          <t>5 - Interface Validation</t>
        </is>
      </c>
      <c r="D37" s="11" t="inlineStr">
        <is>
          <t>Verify /FIT/FI_F_KONSM and /FIT/FI_F_RMVCT entries are correct for new positions</t>
        </is>
      </c>
      <c r="E37" s="11" t="inlineStr">
        <is>
          <t>SM30 on tables /FIT/FI_F_KONSM and /FIT/FI_F_RMVCT</t>
        </is>
      </c>
      <c r="F37" s="11" t="inlineStr">
        <is>
          <t>3</t>
        </is>
      </c>
      <c r="G37" s="11" t="inlineStr">
        <is>
          <t>Financial Data Extraction for Group Consolidation</t>
        </is>
      </c>
      <c r="H37" s="11" t="inlineStr">
        <is>
          <t>INTERFACE, CONFIG</t>
        </is>
      </c>
      <c r="I37" s="11" t="inlineStr">
        <is>
          <t>FC</t>
        </is>
      </c>
      <c r="J37" s="11" t="n">
        <v>1</v>
      </c>
      <c r="K37" s="12" t="n">
        <v>46260</v>
      </c>
      <c r="L37" s="12" t="n">
        <v>46263</v>
      </c>
      <c r="M37" s="11" t="n">
        <v>4</v>
      </c>
      <c r="N37" s="11" t="inlineStr">
        <is>
          <t>3.3</t>
        </is>
      </c>
      <c r="O37" s="11" t="inlineStr">
        <is>
          <t>Not Started</t>
        </is>
      </c>
    </row>
    <row r="38">
      <c r="A38" s="9" t="inlineStr">
        <is>
          <t>5.4</t>
        </is>
      </c>
      <c r="B38" s="9" t="n">
        <v>12</v>
      </c>
      <c r="C38" s="9" t="inlineStr">
        <is>
          <t>5 - Interface Validation</t>
        </is>
      </c>
      <c r="D38" s="9" t="inlineStr">
        <is>
          <t>Test AMANA proxy parsing with restructured FSV output - verify positional parsing still works</t>
        </is>
      </c>
      <c r="E38" s="9" t="inlineStr">
        <is>
          <t>ZFI_RFBILA00_DOWN (AMANA path); SE37 test of ZFI_AMANA_PROXY; SLG1 logs</t>
        </is>
      </c>
      <c r="F38" s="9" t="inlineStr">
        <is>
          <t>4</t>
        </is>
      </c>
      <c r="G38" s="9" t="inlineStr">
        <is>
          <t>Financial Statement Data Export</t>
        </is>
      </c>
      <c r="H38" s="9" t="inlineStr">
        <is>
          <t>INTERFACE</t>
        </is>
      </c>
      <c r="I38" s="9" t="inlineStr">
        <is>
          <t>FC</t>
        </is>
      </c>
      <c r="J38" s="9" t="n">
        <v>1</v>
      </c>
      <c r="K38" s="10" t="n">
        <v>46254</v>
      </c>
      <c r="L38" s="10" t="n">
        <v>46256</v>
      </c>
      <c r="M38" s="9" t="n">
        <v>3</v>
      </c>
      <c r="N38" s="9" t="inlineStr">
        <is>
          <t>3.7</t>
        </is>
      </c>
      <c r="O38" s="9" t="inlineStr">
        <is>
          <t>Not Started</t>
        </is>
      </c>
    </row>
    <row r="39">
      <c r="A39" s="11" t="inlineStr">
        <is>
          <t>5.5</t>
        </is>
      </c>
      <c r="B39" s="11" t="n">
        <v>13</v>
      </c>
      <c r="C39" s="11" t="inlineStr">
        <is>
          <t>5 - Interface Validation</t>
        </is>
      </c>
      <c r="D39" s="11" t="inlineStr">
        <is>
          <t>Coordinate HFM-side configuration updates (new accounts/categories in HFM)</t>
        </is>
      </c>
      <c r="E39" s="11" t="inlineStr">
        <is>
          <t>External system (Oracle HFM) - no SAP transaction</t>
        </is>
      </c>
      <c r="F39" s="11" t="inlineStr">
        <is>
          <t>3</t>
        </is>
      </c>
      <c r="G39" s="11" t="inlineStr">
        <is>
          <t>Financial Data Extraction for Group Consolidation</t>
        </is>
      </c>
      <c r="H39" s="11" t="inlineStr">
        <is>
          <t>INTERFACE, CONFIG</t>
        </is>
      </c>
      <c r="I39" s="11" t="inlineStr">
        <is>
          <t>HFM team</t>
        </is>
      </c>
      <c r="J39" s="11" t="n">
        <v>3</v>
      </c>
      <c r="K39" s="12" t="n">
        <v>46252</v>
      </c>
      <c r="L39" s="12" t="n">
        <v>46271</v>
      </c>
      <c r="M39" s="11" t="n">
        <v>20</v>
      </c>
      <c r="N39" s="11" t="inlineStr">
        <is>
          <t>1.4</t>
        </is>
      </c>
      <c r="O39" s="11" t="inlineStr">
        <is>
          <t>Not Started</t>
        </is>
      </c>
    </row>
    <row r="40">
      <c r="A40" s="9" t="inlineStr">
        <is>
          <t>5.6</t>
        </is>
      </c>
      <c r="B40" s="9" t="n">
        <v>13</v>
      </c>
      <c r="C40" s="9" t="inlineStr">
        <is>
          <t>5 - Interface Validation</t>
        </is>
      </c>
      <c r="D40" s="9" t="inlineStr">
        <is>
          <t>Coordinate Tagetik account code alignment</t>
        </is>
      </c>
      <c r="E40" s="9" t="inlineStr">
        <is>
          <t>External system (Tagetik) - no SAP transaction</t>
        </is>
      </c>
      <c r="F40" s="9" t="inlineStr">
        <is>
          <t>7</t>
        </is>
      </c>
      <c r="G40" s="9" t="inlineStr">
        <is>
          <t>IFRS 16 Lease Accounting Data Loading</t>
        </is>
      </c>
      <c r="H40" s="9" t="inlineStr">
        <is>
          <t>CONFIG</t>
        </is>
      </c>
      <c r="I40" s="9" t="inlineStr">
        <is>
          <t>Tagetik team</t>
        </is>
      </c>
      <c r="J40" s="9" t="n">
        <v>2</v>
      </c>
      <c r="K40" s="10" t="n">
        <v>46252</v>
      </c>
      <c r="L40" s="10" t="n">
        <v>46271</v>
      </c>
      <c r="M40" s="9" t="n">
        <v>20</v>
      </c>
      <c r="N40" s="9" t="inlineStr">
        <is>
          <t>1.5</t>
        </is>
      </c>
      <c r="O40" s="9" t="inlineStr">
        <is>
          <t>Not Started</t>
        </is>
      </c>
    </row>
    <row r="41">
      <c r="A41" s="11" t="inlineStr">
        <is>
          <t>5.7</t>
        </is>
      </c>
      <c r="B41" s="11" t="n">
        <v>13</v>
      </c>
      <c r="C41" s="11" t="inlineStr">
        <is>
          <t>5 - Interface Validation</t>
        </is>
      </c>
      <c r="D41" s="11" t="inlineStr">
        <is>
          <t>Coordinate AMANA receiving system updates</t>
        </is>
      </c>
      <c r="E41" s="11" t="inlineStr">
        <is>
          <t>External system (AMANA DMS) - no SAP transaction</t>
        </is>
      </c>
      <c r="F41" s="11" t="inlineStr">
        <is>
          <t>4</t>
        </is>
      </c>
      <c r="G41" s="11" t="inlineStr">
        <is>
          <t>Financial Statement Data Export</t>
        </is>
      </c>
      <c r="H41" s="11" t="inlineStr">
        <is>
          <t>INTERFACE</t>
        </is>
      </c>
      <c r="I41" s="11" t="inlineStr">
        <is>
          <t>AMANA team</t>
        </is>
      </c>
      <c r="J41" s="11" t="n">
        <v>1</v>
      </c>
      <c r="K41" s="12" t="n">
        <v>46252</v>
      </c>
      <c r="L41" s="12" t="n">
        <v>46271</v>
      </c>
      <c r="M41" s="11" t="n">
        <v>20</v>
      </c>
      <c r="N41" s="11" t="inlineStr">
        <is>
          <t>1.6</t>
        </is>
      </c>
      <c r="O41" s="11" t="inlineStr">
        <is>
          <t>Not Started</t>
        </is>
      </c>
    </row>
    <row r="42">
      <c r="A42" s="9" t="inlineStr">
        <is>
          <t>5.8</t>
        </is>
      </c>
      <c r="B42" s="9" t="n">
        <v>12</v>
      </c>
      <c r="C42" s="9" t="inlineStr">
        <is>
          <t>5 - Interface Validation</t>
        </is>
      </c>
      <c r="D42" s="9" t="inlineStr">
        <is>
          <t>Validate Cash Flow Statement CDS view after note implementation</t>
        </is>
      </c>
      <c r="E42" s="9" t="inlineStr">
        <is>
          <t>CDS view 2CCFICSHFLINDIFRS (Cash Flow Statement - Indirect Method for IFRS); test via report/app</t>
        </is>
      </c>
      <c r="F42" s="9" t="inlineStr">
        <is>
          <t>SAPNOTE</t>
        </is>
      </c>
      <c r="G42" s="9" t="inlineStr">
        <is>
          <t>SAP Notes &amp; Treasury (added after reviewing Note 3670330 and the TRM open question)</t>
        </is>
      </c>
      <c r="H42" s="9" t="inlineStr">
        <is>
          <t>CONFIG + ADVISORY</t>
        </is>
      </c>
      <c r="I42" s="9" t="inlineStr">
        <is>
          <t>FC</t>
        </is>
      </c>
      <c r="J42" s="9" t="n">
        <v>0.5</v>
      </c>
      <c r="K42" s="10" t="n">
        <v>46264</v>
      </c>
      <c r="L42" s="10" t="n">
        <v>46265</v>
      </c>
      <c r="M42" s="9" t="n">
        <v>2</v>
      </c>
      <c r="N42" s="9" t="inlineStr">
        <is>
          <t>3.8</t>
        </is>
      </c>
      <c r="O42" s="9" t="inlineStr">
        <is>
          <t>Not Started</t>
        </is>
      </c>
    </row>
    <row r="43">
      <c r="A43" s="11" t="inlineStr">
        <is>
          <t>5.9</t>
        </is>
      </c>
      <c r="B43" s="11" t="n">
        <v>11</v>
      </c>
      <c r="C43" s="11" t="inlineStr">
        <is>
          <t>5 - Interface Validation</t>
        </is>
      </c>
      <c r="D43" s="11" t="inlineStr">
        <is>
          <t>Validate treasury valuation postings in restructured FSVs</t>
        </is>
      </c>
      <c r="E43" s="11" t="inlineStr">
        <is>
          <t>Run TPM44/TPM1/TPM18 closing postings, then F.01/RFBILA00 to verify classification</t>
        </is>
      </c>
      <c r="F43" s="11" t="inlineStr">
        <is>
          <t>SAPNOTE</t>
        </is>
      </c>
      <c r="G43" s="11" t="inlineStr">
        <is>
          <t>SAP Notes &amp; Treasury (added after reviewing Note 3670330 and the TRM open question)</t>
        </is>
      </c>
      <c r="H43" s="11" t="inlineStr">
        <is>
          <t>CONFIG + ADVISORY</t>
        </is>
      </c>
      <c r="I43" s="11" t="inlineStr">
        <is>
          <t>FC + Treasury</t>
        </is>
      </c>
      <c r="J43" s="11" t="n">
        <v>1</v>
      </c>
      <c r="K43" s="12" t="n">
        <v>46260</v>
      </c>
      <c r="L43" s="12" t="n">
        <v>46263</v>
      </c>
      <c r="M43" s="11" t="n">
        <v>4</v>
      </c>
      <c r="N43" s="11" t="inlineStr">
        <is>
          <t>1.10</t>
        </is>
      </c>
      <c r="O43" s="11" t="inlineStr">
        <is>
          <t>Not Started</t>
        </is>
      </c>
    </row>
    <row r="44">
      <c r="A44" s="9" t="inlineStr">
        <is>
          <t>6.1</t>
        </is>
      </c>
      <c r="B44" s="9" t="n">
        <v>14</v>
      </c>
      <c r="C44" s="9" t="inlineStr">
        <is>
          <t>6 - Integration Testing</t>
        </is>
      </c>
      <c r="D44" s="9" t="inlineStr">
        <is>
          <t>End-to-end: FSV -&gt; mapping regeneration -&gt; HFM extraction -&gt; file validation</t>
        </is>
      </c>
      <c r="E44" s="9" t="inlineStr">
        <is>
          <t>Full chain: ZHFMB0 -&gt; ZHFM01 -&gt; ZHFM10; review final output file</t>
        </is>
      </c>
      <c r="F44" s="9" t="inlineStr">
        <is>
          <t>1-&gt;2-&gt;3</t>
        </is>
      </c>
      <c r="G44" s="9" t="inlineStr">
        <is>
          <t>GAP 1 -&gt; GAP 2 -&gt; GAP 3</t>
        </is>
      </c>
      <c r="H44" s="9" t="inlineStr">
        <is>
          <t>-</t>
        </is>
      </c>
      <c r="I44" s="9" t="inlineStr">
        <is>
          <t>FC</t>
        </is>
      </c>
      <c r="J44" s="9" t="n">
        <v>3</v>
      </c>
      <c r="K44" s="10" t="n">
        <v>46268</v>
      </c>
      <c r="L44" s="10" t="n">
        <v>46272</v>
      </c>
      <c r="M44" s="9" t="n">
        <v>5</v>
      </c>
      <c r="N44" s="9" t="inlineStr">
        <is>
          <t>5.2</t>
        </is>
      </c>
      <c r="O44" s="9" t="inlineStr">
        <is>
          <t>Not Started</t>
        </is>
      </c>
    </row>
    <row r="45">
      <c r="A45" s="11" t="inlineStr">
        <is>
          <t>6.2</t>
        </is>
      </c>
      <c r="B45" s="11" t="n">
        <v>15</v>
      </c>
      <c r="C45" s="11" t="inlineStr">
        <is>
          <t>6 - Integration Testing</t>
        </is>
      </c>
      <c r="D45" s="11" t="inlineStr">
        <is>
          <t>End-to-end: FSV -&gt; P&amp;L report with IFRS 18 categories and subtotals</t>
        </is>
      </c>
      <c r="E45" s="11" t="inlineStr">
        <is>
          <t>Custom analytical query from 4.2 via Fiori / Analysis for Office</t>
        </is>
      </c>
      <c r="F45" s="11" t="inlineStr">
        <is>
          <t>1-&gt;5</t>
        </is>
      </c>
      <c r="G45" s="11" t="inlineStr">
        <is>
          <t>GAP 1 -&gt; GAP 5</t>
        </is>
      </c>
      <c r="H45" s="11" t="inlineStr">
        <is>
          <t>-</t>
        </is>
      </c>
      <c r="I45" s="11" t="inlineStr">
        <is>
          <t>FC</t>
        </is>
      </c>
      <c r="J45" s="11" t="n">
        <v>1</v>
      </c>
      <c r="K45" s="12" t="n">
        <v>46270</v>
      </c>
      <c r="L45" s="12" t="n">
        <v>46272</v>
      </c>
      <c r="M45" s="11" t="n">
        <v>3</v>
      </c>
      <c r="N45" s="11" t="inlineStr">
        <is>
          <t>4.7</t>
        </is>
      </c>
      <c r="O45" s="11" t="inlineStr">
        <is>
          <t>Not Started</t>
        </is>
      </c>
    </row>
    <row r="46">
      <c r="A46" s="9" t="inlineStr">
        <is>
          <t>6.3</t>
        </is>
      </c>
      <c r="B46" s="9" t="n">
        <v>15</v>
      </c>
      <c r="C46" s="9" t="inlineStr">
        <is>
          <t>6 - Integration Testing</t>
        </is>
      </c>
      <c r="D46" s="9" t="inlineStr">
        <is>
          <t>End-to-end: FSV -&gt; working capital report with updated hierarchy nodes</t>
        </is>
      </c>
      <c r="E46" s="9" t="inlineStr">
        <is>
          <t>Working-capital report (ZC_WORKINGCAPITAL_Q001)</t>
        </is>
      </c>
      <c r="F46" s="9" t="inlineStr">
        <is>
          <t>1-&gt;6</t>
        </is>
      </c>
      <c r="G46" s="9" t="inlineStr">
        <is>
          <t>GAP 1 -&gt; GAP 6</t>
        </is>
      </c>
      <c r="H46" s="9" t="inlineStr">
        <is>
          <t>-</t>
        </is>
      </c>
      <c r="I46" s="9" t="inlineStr">
        <is>
          <t>FC</t>
        </is>
      </c>
      <c r="J46" s="9" t="n">
        <v>1</v>
      </c>
      <c r="K46" s="10" t="n">
        <v>46270</v>
      </c>
      <c r="L46" s="10" t="n">
        <v>46272</v>
      </c>
      <c r="M46" s="9" t="n">
        <v>3</v>
      </c>
      <c r="N46" s="9" t="inlineStr">
        <is>
          <t>4.7</t>
        </is>
      </c>
      <c r="O46" s="9" t="inlineStr">
        <is>
          <t>Not Started</t>
        </is>
      </c>
    </row>
    <row r="47">
      <c r="A47" s="11" t="inlineStr">
        <is>
          <t>6.4</t>
        </is>
      </c>
      <c r="B47" s="11" t="n">
        <v>15</v>
      </c>
      <c r="C47" s="11" t="inlineStr">
        <is>
          <t>6 - Integration Testing</t>
        </is>
      </c>
      <c r="D47" s="11" t="inlineStr">
        <is>
          <t>End-to-end: IFRS 16 lease posting -&gt; verify FSV classification (depreciation = Operating, interest = Financing)</t>
        </is>
      </c>
      <c r="E47" s="11" t="inlineStr">
        <is>
          <t>Z_FI_I_LOAD_IFRS16 test run; F.01 / RFBILA00 classification check</t>
        </is>
      </c>
      <c r="F47" s="11" t="inlineStr">
        <is>
          <t>1-&gt;7</t>
        </is>
      </c>
      <c r="G47" s="11" t="inlineStr">
        <is>
          <t>GAP 1 -&gt; GAP 7</t>
        </is>
      </c>
      <c r="H47" s="11" t="inlineStr">
        <is>
          <t>-</t>
        </is>
      </c>
      <c r="I47" s="11" t="inlineStr">
        <is>
          <t>FC</t>
        </is>
      </c>
      <c r="J47" s="11" t="n">
        <v>1</v>
      </c>
      <c r="K47" s="12" t="n">
        <v>46270</v>
      </c>
      <c r="L47" s="12" t="n">
        <v>46272</v>
      </c>
      <c r="M47" s="11" t="n">
        <v>3</v>
      </c>
      <c r="N47" s="11" t="inlineStr">
        <is>
          <t>4.7</t>
        </is>
      </c>
      <c r="O47" s="11" t="inlineStr">
        <is>
          <t>Not Started</t>
        </is>
      </c>
    </row>
    <row r="48">
      <c r="A48" s="9" t="inlineStr">
        <is>
          <t>6.5</t>
        </is>
      </c>
      <c r="B48" s="9" t="n">
        <v>15</v>
      </c>
      <c r="C48" s="9" t="inlineStr">
        <is>
          <t>6 - Integration Testing</t>
        </is>
      </c>
      <c r="D48" s="9" t="inlineStr">
        <is>
          <t>End-to-end: Financial statement export -&gt; AMANA transfer</t>
        </is>
      </c>
      <c r="E48" s="9" t="inlineStr">
        <is>
          <t>Full run of ZFI_RFBILA00_DOWN with AMANA export option</t>
        </is>
      </c>
      <c r="F48" s="9" t="inlineStr">
        <is>
          <t>1-&gt;4</t>
        </is>
      </c>
      <c r="G48" s="9" t="inlineStr">
        <is>
          <t>GAP 1 -&gt; GAP 4</t>
        </is>
      </c>
      <c r="H48" s="9" t="inlineStr">
        <is>
          <t>-</t>
        </is>
      </c>
      <c r="I48" s="9" t="inlineStr">
        <is>
          <t>FC</t>
        </is>
      </c>
      <c r="J48" s="9" t="n">
        <v>1</v>
      </c>
      <c r="K48" s="10" t="n">
        <v>46267</v>
      </c>
      <c r="L48" s="10" t="n">
        <v>46269</v>
      </c>
      <c r="M48" s="9" t="n">
        <v>3</v>
      </c>
      <c r="N48" s="9" t="inlineStr">
        <is>
          <t>5.4</t>
        </is>
      </c>
      <c r="O48" s="9" t="inlineStr">
        <is>
          <t>Not Started</t>
        </is>
      </c>
    </row>
    <row r="49">
      <c r="A49" s="11" t="inlineStr">
        <is>
          <t>6.6</t>
        </is>
      </c>
      <c r="B49" s="11" t="n">
        <v>15</v>
      </c>
      <c r="C49" s="11" t="inlineStr">
        <is>
          <t>6 - Integration Testing</t>
        </is>
      </c>
      <c r="D49" s="11" t="inlineStr">
        <is>
          <t>Regression test: Shareholder reporting (FIT - no changes expected)</t>
        </is>
      </c>
      <c r="E49" s="11" t="inlineStr">
        <is>
          <t>Run existing shareholder reports unchanged</t>
        </is>
      </c>
      <c r="F49" s="11" t="inlineStr">
        <is>
          <t>-</t>
        </is>
      </c>
      <c r="G49" s="11" t="inlineStr">
        <is>
          <t>N/A</t>
        </is>
      </c>
      <c r="H49" s="11" t="inlineStr">
        <is>
          <t>-</t>
        </is>
      </c>
      <c r="I49" s="11" t="inlineStr">
        <is>
          <t>FC</t>
        </is>
      </c>
      <c r="J49" s="11" t="n">
        <v>0.5</v>
      </c>
      <c r="K49" s="12" t="n">
        <v>46270</v>
      </c>
      <c r="L49" s="12" t="n">
        <v>46272</v>
      </c>
      <c r="M49" s="11" t="n">
        <v>3</v>
      </c>
      <c r="N49" s="11" t="inlineStr">
        <is>
          <t>-</t>
        </is>
      </c>
      <c r="O49" s="11" t="inlineStr">
        <is>
          <t>Not Started</t>
        </is>
      </c>
    </row>
    <row r="50">
      <c r="A50" s="9" t="inlineStr">
        <is>
          <t>6.7</t>
        </is>
      </c>
      <c r="B50" s="9" t="n">
        <v>16</v>
      </c>
      <c r="C50" s="9" t="inlineStr">
        <is>
          <t>6 - Integration Testing</t>
        </is>
      </c>
      <c r="D50" s="9" t="inlineStr">
        <is>
          <t>Compare pre-IFRS 18 (XHFM/XCPL/XUKV) vs. post-IFRS 18 output for audit trail</t>
        </is>
      </c>
      <c r="E50" s="9" t="inlineStr">
        <is>
          <t>OB58 (compare XHFM/XCPL/XUKV vs. ZHFM/ZCPL/ZUKV) + F.01 comparison</t>
        </is>
      </c>
      <c r="F50" s="9" t="inlineStr">
        <is>
          <t>All</t>
        </is>
      </c>
      <c r="G50" s="9" t="inlineStr">
        <is>
          <t>Cross-cutting</t>
        </is>
      </c>
      <c r="H50" s="9" t="inlineStr">
        <is>
          <t>-</t>
        </is>
      </c>
      <c r="I50" s="9" t="inlineStr">
        <is>
          <t>FC</t>
        </is>
      </c>
      <c r="J50" s="9" t="n">
        <v>2</v>
      </c>
      <c r="K50" s="10" t="n">
        <v>46270</v>
      </c>
      <c r="L50" s="10" t="n">
        <v>46272</v>
      </c>
      <c r="M50" s="9" t="n">
        <v>3</v>
      </c>
      <c r="N50" s="9" t="inlineStr">
        <is>
          <t>-</t>
        </is>
      </c>
      <c r="O50" s="9" t="inlineStr">
        <is>
          <t>Not Started</t>
        </is>
      </c>
    </row>
    <row r="51">
      <c r="A51" s="11" t="inlineStr">
        <is>
          <t>6.8</t>
        </is>
      </c>
      <c r="B51" s="11" t="n">
        <v>17</v>
      </c>
      <c r="C51" s="11" t="inlineStr">
        <is>
          <t>6 - Integration Testing</t>
        </is>
      </c>
      <c r="D51" s="11" t="inlineStr">
        <is>
          <t>Defect resolution buffer</t>
        </is>
      </c>
      <c r="E51" s="11" t="inlineStr">
        <is>
          <t>Fixes applied to the specific transaction/object where the defect was found</t>
        </is>
      </c>
      <c r="F51" s="11" t="inlineStr">
        <is>
          <t>All</t>
        </is>
      </c>
      <c r="G51" s="11" t="inlineStr">
        <is>
          <t>Cross-cutting</t>
        </is>
      </c>
      <c r="H51" s="11" t="inlineStr">
        <is>
          <t>-</t>
        </is>
      </c>
      <c r="I51" s="11" t="inlineStr">
        <is>
          <t>FC + Dev</t>
        </is>
      </c>
      <c r="J51" s="11" t="n">
        <v>3</v>
      </c>
      <c r="K51" s="12" t="n">
        <v>46273</v>
      </c>
      <c r="L51" s="12" t="n">
        <v>46277</v>
      </c>
      <c r="M51" s="11" t="n">
        <v>5</v>
      </c>
      <c r="N51" s="11" t="inlineStr">
        <is>
          <t>6.1</t>
        </is>
      </c>
      <c r="O51" s="11" t="inlineStr">
        <is>
          <t>Not Started</t>
        </is>
      </c>
    </row>
    <row r="52">
      <c r="A52" s="9" t="inlineStr">
        <is>
          <t>7.1</t>
        </is>
      </c>
      <c r="B52" s="9" t="n">
        <v>18</v>
      </c>
      <c r="C52" s="9" t="inlineStr">
        <is>
          <t>7 - QA Transport &amp; UAT</t>
        </is>
      </c>
      <c r="D52" s="9" t="inlineStr">
        <is>
          <t>Prepare transport requests (config + workbench)</t>
        </is>
      </c>
      <c r="E52" s="9" t="inlineStr">
        <is>
          <t>SE09 / SE10 (Transport Organizer) - customizing + workbench requests</t>
        </is>
      </c>
      <c r="F52" s="9" t="inlineStr">
        <is>
          <t>All</t>
        </is>
      </c>
      <c r="G52" s="9" t="inlineStr">
        <is>
          <t>Cross-cutting</t>
        </is>
      </c>
      <c r="H52" s="9" t="inlineStr">
        <is>
          <t>-</t>
        </is>
      </c>
      <c r="I52" s="9" t="inlineStr">
        <is>
          <t>Dev/Basis</t>
        </is>
      </c>
      <c r="J52" s="9" t="n">
        <v>1</v>
      </c>
      <c r="K52" s="10" t="n">
        <v>46278</v>
      </c>
      <c r="L52" s="10" t="n">
        <v>46280</v>
      </c>
      <c r="M52" s="9" t="n">
        <v>3</v>
      </c>
      <c r="N52" s="9" t="inlineStr">
        <is>
          <t>6.8</t>
        </is>
      </c>
      <c r="O52" s="9" t="inlineStr">
        <is>
          <t>Not Started</t>
        </is>
      </c>
    </row>
    <row r="53">
      <c r="A53" s="11" t="inlineStr">
        <is>
          <t>7.2</t>
        </is>
      </c>
      <c r="B53" s="11" t="n">
        <v>19</v>
      </c>
      <c r="C53" s="11" t="inlineStr">
        <is>
          <t>7 - QA Transport &amp; UAT</t>
        </is>
      </c>
      <c r="D53" s="11" t="inlineStr">
        <is>
          <t>Execute transport CSD -&gt; CSQ</t>
        </is>
      </c>
      <c r="E53" s="11" t="inlineStr">
        <is>
          <t>STMS (Transport Management System) - CSD to CSQ</t>
        </is>
      </c>
      <c r="F53" s="11" t="inlineStr">
        <is>
          <t>All</t>
        </is>
      </c>
      <c r="G53" s="11" t="inlineStr">
        <is>
          <t>Cross-cutting</t>
        </is>
      </c>
      <c r="H53" s="11" t="inlineStr">
        <is>
          <t>-</t>
        </is>
      </c>
      <c r="I53" s="11" t="inlineStr">
        <is>
          <t>Basis</t>
        </is>
      </c>
      <c r="J53" s="11" t="n">
        <v>0.5</v>
      </c>
      <c r="K53" s="12" t="n">
        <v>46281</v>
      </c>
      <c r="L53" s="12" t="n">
        <v>46281</v>
      </c>
      <c r="M53" s="11" t="n">
        <v>1</v>
      </c>
      <c r="N53" s="11" t="inlineStr">
        <is>
          <t>7.1</t>
        </is>
      </c>
      <c r="O53" s="11" t="inlineStr">
        <is>
          <t>Not Started</t>
        </is>
      </c>
    </row>
    <row r="54">
      <c r="A54" s="9" t="inlineStr">
        <is>
          <t>7.3</t>
        </is>
      </c>
      <c r="B54" s="9" t="n">
        <v>20</v>
      </c>
      <c r="C54" s="9" t="inlineStr">
        <is>
          <t>7 - QA Transport &amp; UAT</t>
        </is>
      </c>
      <c r="D54" s="9" t="inlineStr">
        <is>
          <t>QA smoke testing - verify all 7 capabilities in CSQ</t>
        </is>
      </c>
      <c r="E54" s="9" t="inlineStr">
        <is>
          <t>OB58, ZHFMB0, ZHFM01, ZHFM10, F0708/W0161, custom query, Z_FI_I_LOAD_IFRS16, ZFI_RFBILA00_DOWN</t>
        </is>
      </c>
      <c r="F54" s="9" t="inlineStr">
        <is>
          <t>All</t>
        </is>
      </c>
      <c r="G54" s="9" t="inlineStr">
        <is>
          <t>Cross-cutting</t>
        </is>
      </c>
      <c r="H54" s="9" t="inlineStr">
        <is>
          <t>-</t>
        </is>
      </c>
      <c r="I54" s="9" t="inlineStr">
        <is>
          <t>FC</t>
        </is>
      </c>
      <c r="J54" s="9" t="n">
        <v>3</v>
      </c>
      <c r="K54" s="10" t="n">
        <v>46282</v>
      </c>
      <c r="L54" s="10" t="n">
        <v>46285</v>
      </c>
      <c r="M54" s="9" t="n">
        <v>4</v>
      </c>
      <c r="N54" s="9" t="inlineStr">
        <is>
          <t>7.2</t>
        </is>
      </c>
      <c r="O54" s="9" t="inlineStr">
        <is>
          <t>Not Started</t>
        </is>
      </c>
    </row>
    <row r="55">
      <c r="A55" s="11" t="inlineStr">
        <is>
          <t>7.4</t>
        </is>
      </c>
      <c r="B55" s="11" t="n">
        <v>21</v>
      </c>
      <c r="C55" s="11" t="inlineStr">
        <is>
          <t>7 - QA Transport &amp; UAT</t>
        </is>
      </c>
      <c r="D55" s="11" t="inlineStr">
        <is>
          <t>User acceptance testing with business users (finance, controlling, consolidation)</t>
        </is>
      </c>
      <c r="E55" s="11" t="inlineStr">
        <is>
          <t>Business users execute Fiori apps/reports listed in 7.3, in CSQ</t>
        </is>
      </c>
      <c r="F55" s="11" t="inlineStr">
        <is>
          <t>All</t>
        </is>
      </c>
      <c r="G55" s="11" t="inlineStr">
        <is>
          <t>Cross-cutting</t>
        </is>
      </c>
      <c r="H55" s="11" t="inlineStr">
        <is>
          <t>-</t>
        </is>
      </c>
      <c r="I55" s="11" t="inlineStr">
        <is>
          <t>Business + FC</t>
        </is>
      </c>
      <c r="J55" s="11" t="n">
        <v>5</v>
      </c>
      <c r="K55" s="12" t="n">
        <v>46286</v>
      </c>
      <c r="L55" s="12" t="n">
        <v>46292</v>
      </c>
      <c r="M55" s="11" t="n">
        <v>7</v>
      </c>
      <c r="N55" s="11" t="inlineStr">
        <is>
          <t>7.3</t>
        </is>
      </c>
      <c r="O55" s="11" t="inlineStr">
        <is>
          <t>Not Started</t>
        </is>
      </c>
    </row>
    <row r="56">
      <c r="A56" s="9" t="inlineStr">
        <is>
          <t>7.5</t>
        </is>
      </c>
      <c r="B56" s="9" t="n">
        <v>22</v>
      </c>
      <c r="C56" s="9" t="inlineStr">
        <is>
          <t>7 - QA Transport &amp; UAT</t>
        </is>
      </c>
      <c r="D56" s="9" t="inlineStr">
        <is>
          <t>Defect resolution and re-transport</t>
        </is>
      </c>
      <c r="E56" s="9" t="inlineStr">
        <is>
          <t>Fixes in source object + SE09/SE10/STMS re-transport</t>
        </is>
      </c>
      <c r="F56" s="9" t="inlineStr">
        <is>
          <t>All</t>
        </is>
      </c>
      <c r="G56" s="9" t="inlineStr">
        <is>
          <t>Cross-cutting</t>
        </is>
      </c>
      <c r="H56" s="9" t="inlineStr">
        <is>
          <t>-</t>
        </is>
      </c>
      <c r="I56" s="9" t="inlineStr">
        <is>
          <t>FC + Dev</t>
        </is>
      </c>
      <c r="J56" s="9" t="n">
        <v>3</v>
      </c>
      <c r="K56" s="10" t="n">
        <v>46293</v>
      </c>
      <c r="L56" s="10" t="n">
        <v>46297</v>
      </c>
      <c r="M56" s="9" t="n">
        <v>5</v>
      </c>
      <c r="N56" s="9" t="inlineStr">
        <is>
          <t>7.4</t>
        </is>
      </c>
      <c r="O56" s="9" t="inlineStr">
        <is>
          <t>Not Started</t>
        </is>
      </c>
    </row>
    <row r="57">
      <c r="A57" s="11" t="inlineStr">
        <is>
          <t>7.6</t>
        </is>
      </c>
      <c r="B57" s="11" t="n">
        <v>23</v>
      </c>
      <c r="C57" s="11" t="inlineStr">
        <is>
          <t>7 - QA Transport &amp; UAT</t>
        </is>
      </c>
      <c r="D57" s="11" t="inlineStr">
        <is>
          <t>Re-test after fixes</t>
        </is>
      </c>
      <c r="E57" s="11" t="inlineStr">
        <is>
          <t>Same transactions as 7.3</t>
        </is>
      </c>
      <c r="F57" s="11" t="inlineStr">
        <is>
          <t>All</t>
        </is>
      </c>
      <c r="G57" s="11" t="inlineStr">
        <is>
          <t>Cross-cutting</t>
        </is>
      </c>
      <c r="H57" s="11" t="inlineStr">
        <is>
          <t>-</t>
        </is>
      </c>
      <c r="I57" s="11" t="inlineStr">
        <is>
          <t>FC</t>
        </is>
      </c>
      <c r="J57" s="11" t="n">
        <v>2</v>
      </c>
      <c r="K57" s="12" t="n">
        <v>46298</v>
      </c>
      <c r="L57" s="12" t="n">
        <v>46301</v>
      </c>
      <c r="M57" s="11" t="n">
        <v>4</v>
      </c>
      <c r="N57" s="11" t="inlineStr">
        <is>
          <t>7.5</t>
        </is>
      </c>
      <c r="O57" s="11" t="inlineStr">
        <is>
          <t>Not Started</t>
        </is>
      </c>
    </row>
    <row r="58">
      <c r="A58" s="9" t="inlineStr">
        <is>
          <t>8.1</t>
        </is>
      </c>
      <c r="B58" s="9" t="n">
        <v>24</v>
      </c>
      <c r="C58" s="9" t="inlineStr">
        <is>
          <t>8 - Production Go-Live</t>
        </is>
      </c>
      <c r="D58" s="9" t="inlineStr">
        <is>
          <t>Execute transport CSQ -&gt; CSP</t>
        </is>
      </c>
      <c r="E58" s="9" t="inlineStr">
        <is>
          <t>STMS - CSQ to CSP</t>
        </is>
      </c>
      <c r="F58" s="9" t="inlineStr">
        <is>
          <t>All</t>
        </is>
      </c>
      <c r="G58" s="9" t="inlineStr">
        <is>
          <t>Cross-cutting</t>
        </is>
      </c>
      <c r="H58" s="9" t="inlineStr">
        <is>
          <t>-</t>
        </is>
      </c>
      <c r="I58" s="9" t="inlineStr">
        <is>
          <t>Basis</t>
        </is>
      </c>
      <c r="J58" s="9" t="n">
        <v>0.5</v>
      </c>
      <c r="K58" s="10" t="n">
        <v>46302</v>
      </c>
      <c r="L58" s="10" t="n">
        <v>46303</v>
      </c>
      <c r="M58" s="9" t="n">
        <v>2</v>
      </c>
      <c r="N58" s="9" t="inlineStr">
        <is>
          <t>7.6</t>
        </is>
      </c>
      <c r="O58" s="9" t="inlineStr">
        <is>
          <t>Not Started</t>
        </is>
      </c>
    </row>
    <row r="59">
      <c r="A59" s="11" t="inlineStr">
        <is>
          <t>8.2</t>
        </is>
      </c>
      <c r="B59" s="11" t="n">
        <v>25</v>
      </c>
      <c r="C59" s="11" t="inlineStr">
        <is>
          <t>8 - Production Go-Live</t>
        </is>
      </c>
      <c r="D59" s="11" t="inlineStr">
        <is>
          <t>Production verification - run each capability and validate output</t>
        </is>
      </c>
      <c r="E59" s="11" t="inlineStr">
        <is>
          <t>Same transactions as 7.3, executed in CSP</t>
        </is>
      </c>
      <c r="F59" s="11" t="inlineStr">
        <is>
          <t>All</t>
        </is>
      </c>
      <c r="G59" s="11" t="inlineStr">
        <is>
          <t>Cross-cutting</t>
        </is>
      </c>
      <c r="H59" s="11" t="inlineStr">
        <is>
          <t>-</t>
        </is>
      </c>
      <c r="I59" s="11" t="inlineStr">
        <is>
          <t>FC</t>
        </is>
      </c>
      <c r="J59" s="11" t="n">
        <v>2</v>
      </c>
      <c r="K59" s="12" t="n">
        <v>46304</v>
      </c>
      <c r="L59" s="12" t="n">
        <v>46306</v>
      </c>
      <c r="M59" s="11" t="n">
        <v>3</v>
      </c>
      <c r="N59" s="11" t="inlineStr">
        <is>
          <t>8.1</t>
        </is>
      </c>
      <c r="O59" s="11" t="inlineStr">
        <is>
          <t>Not Started</t>
        </is>
      </c>
    </row>
    <row r="60">
      <c r="A60" s="9" t="inlineStr">
        <is>
          <t>8.3</t>
        </is>
      </c>
      <c r="B60" s="9" t="n">
        <v>25</v>
      </c>
      <c r="C60" s="9" t="inlineStr">
        <is>
          <t>8 - Production Go-Live</t>
        </is>
      </c>
      <c r="D60" s="9" t="inlineStr">
        <is>
          <t>Go-live communication to business users</t>
        </is>
      </c>
      <c r="E60" s="9" t="inlineStr">
        <is>
          <t>Email/meeting - no transaction</t>
        </is>
      </c>
      <c r="F60" s="9" t="inlineStr">
        <is>
          <t>All</t>
        </is>
      </c>
      <c r="G60" s="9" t="inlineStr">
        <is>
          <t>Cross-cutting</t>
        </is>
      </c>
      <c r="H60" s="9" t="inlineStr">
        <is>
          <t>-</t>
        </is>
      </c>
      <c r="I60" s="9" t="inlineStr">
        <is>
          <t>PM</t>
        </is>
      </c>
      <c r="J60" s="9" t="n">
        <v>0.5</v>
      </c>
      <c r="K60" s="10" t="n">
        <v>46304</v>
      </c>
      <c r="L60" s="10" t="n">
        <v>46304</v>
      </c>
      <c r="M60" s="9" t="n">
        <v>1</v>
      </c>
      <c r="N60" s="9" t="inlineStr">
        <is>
          <t>8.1</t>
        </is>
      </c>
      <c r="O60" s="9" t="inlineStr">
        <is>
          <t>Not Started</t>
        </is>
      </c>
    </row>
    <row r="61">
      <c r="A61" s="11" t="inlineStr">
        <is>
          <t>8.4</t>
        </is>
      </c>
      <c r="B61" s="11" t="n">
        <v>26</v>
      </c>
      <c r="C61" s="11" t="inlineStr">
        <is>
          <t>8 - Production Go-Live</t>
        </is>
      </c>
      <c r="D61" s="11" t="inlineStr">
        <is>
          <t>Hypercare support (2 weeks - monitor HFM extraction, reports, IFRS 16 postings)</t>
        </is>
      </c>
      <c r="E61" s="11" t="inlineStr">
        <is>
          <t>SM37 (monitor jobs for ZHFM01/ZHFM10/Z_FI_I_LOAD_IFRS16), SLG1, ST22</t>
        </is>
      </c>
      <c r="F61" s="11" t="inlineStr">
        <is>
          <t>All</t>
        </is>
      </c>
      <c r="G61" s="11" t="inlineStr">
        <is>
          <t>Cross-cutting</t>
        </is>
      </c>
      <c r="H61" s="11" t="inlineStr">
        <is>
          <t>-</t>
        </is>
      </c>
      <c r="I61" s="11" t="inlineStr">
        <is>
          <t>FC + Dev</t>
        </is>
      </c>
      <c r="J61" s="11" t="n">
        <v>5</v>
      </c>
      <c r="K61" s="12" t="n">
        <v>46307</v>
      </c>
      <c r="L61" s="12" t="n">
        <v>46320</v>
      </c>
      <c r="M61" s="11" t="n">
        <v>14</v>
      </c>
      <c r="N61" s="11" t="inlineStr">
        <is>
          <t>8.2</t>
        </is>
      </c>
      <c r="O61" s="11" t="inlineStr">
        <is>
          <t>Not Started</t>
        </is>
      </c>
    </row>
    <row r="63">
      <c r="I63" s="13" t="inlineStr">
        <is>
          <t>Total</t>
        </is>
      </c>
      <c r="J63" s="13">
        <f>SUM(J2:J61)</f>
        <v/>
      </c>
    </row>
  </sheetData>
  <dataValidations count="1">
    <dataValidation sqref="O2:O61" showDropDown="0" showInputMessage="0" showErrorMessage="0" allowBlank="0" type="list">
      <formula1>"Not Started,In Progress,Blocked,Complete"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40" customWidth="1" min="4" max="4"/>
  </cols>
  <sheetData>
    <row r="1">
      <c r="A1" s="14" t="inlineStr">
        <is>
          <t>Effort by Phase (updated Jul 14, 2026 - was 95 PD; +10 PD for SAP Note / Treasury activities)</t>
        </is>
      </c>
    </row>
    <row r="2">
      <c r="A2" s="8" t="inlineStr">
        <is>
          <t>Phase</t>
        </is>
      </c>
      <c r="B2" s="8" t="inlineStr">
        <is>
          <t>Calendar Duration</t>
        </is>
      </c>
      <c r="C2" s="8" t="inlineStr">
        <is>
          <t>Effort (PD)</t>
        </is>
      </c>
    </row>
    <row r="3">
      <c r="A3" s="9" t="inlineStr">
        <is>
          <t>1. Design &amp; Preparation</t>
        </is>
      </c>
      <c r="B3" s="9" t="inlineStr">
        <is>
          <t>2 weeks</t>
        </is>
      </c>
      <c r="C3" s="9" t="n">
        <v>20</v>
      </c>
    </row>
    <row r="4">
      <c r="A4" s="11" t="inlineStr">
        <is>
          <t>2. FSV Restructuring</t>
        </is>
      </c>
      <c r="B4" s="11" t="inlineStr">
        <is>
          <t>3 weeks</t>
        </is>
      </c>
      <c r="C4" s="11" t="n">
        <v>14</v>
      </c>
    </row>
    <row r="5">
      <c r="A5" s="9" t="inlineStr">
        <is>
          <t>3. Configuration Updates</t>
        </is>
      </c>
      <c r="B5" s="9" t="inlineStr">
        <is>
          <t>2 weeks</t>
        </is>
      </c>
      <c r="C5" s="9" t="n">
        <v>12.5</v>
      </c>
    </row>
    <row r="6">
      <c r="A6" s="11" t="inlineStr">
        <is>
          <t>4. Development</t>
        </is>
      </c>
      <c r="B6" s="11" t="inlineStr">
        <is>
          <t>3 weeks</t>
        </is>
      </c>
      <c r="C6" s="11" t="n">
        <v>11</v>
      </c>
    </row>
    <row r="7">
      <c r="A7" s="9" t="inlineStr">
        <is>
          <t>5. Interface Validation</t>
        </is>
      </c>
      <c r="B7" s="9" t="inlineStr">
        <is>
          <t>3 weeks</t>
        </is>
      </c>
      <c r="C7" s="9" t="n">
        <v>12.5</v>
      </c>
    </row>
    <row r="8">
      <c r="A8" s="11" t="inlineStr">
        <is>
          <t>6. Integration Testing</t>
        </is>
      </c>
      <c r="B8" s="11" t="inlineStr">
        <is>
          <t>3.5 weeks</t>
        </is>
      </c>
      <c r="C8" s="11" t="n">
        <v>12.5</v>
      </c>
    </row>
    <row r="9">
      <c r="A9" s="9" t="inlineStr">
        <is>
          <t>7. QA Transport &amp; UAT</t>
        </is>
      </c>
      <c r="B9" s="9" t="inlineStr">
        <is>
          <t>4 weeks</t>
        </is>
      </c>
      <c r="C9" s="9" t="n">
        <v>14.5</v>
      </c>
    </row>
    <row r="10">
      <c r="A10" s="11" t="inlineStr">
        <is>
          <t>8. Production Go-Live</t>
        </is>
      </c>
      <c r="B10" s="11" t="inlineStr">
        <is>
          <t>4 weeks</t>
        </is>
      </c>
      <c r="C10" s="11" t="n">
        <v>8</v>
      </c>
    </row>
    <row r="11">
      <c r="A11" s="9" t="inlineStr">
        <is>
          <t>Total</t>
        </is>
      </c>
      <c r="B11" s="9" t="inlineStr">
        <is>
          <t>~22 weeks</t>
        </is>
      </c>
      <c r="C11" s="9" t="n">
        <v>105</v>
      </c>
    </row>
    <row r="14">
      <c r="A14" s="14" t="inlineStr">
        <is>
          <t>Effort by Role</t>
        </is>
      </c>
    </row>
    <row r="15">
      <c r="A15" s="8" t="inlineStr">
        <is>
          <t>Role</t>
        </is>
      </c>
      <c r="B15" s="8" t="inlineStr">
        <is>
          <t>Effort (PD)</t>
        </is>
      </c>
      <c r="C15" s="8" t="inlineStr">
        <is>
          <t>% of Total</t>
        </is>
      </c>
    </row>
    <row r="16">
      <c r="A16" s="9" t="inlineStr">
        <is>
          <t>FI/CO Functional Consultant</t>
        </is>
      </c>
      <c r="B16" s="9" t="n">
        <v>71.5</v>
      </c>
      <c r="C16" s="9" t="inlineStr">
        <is>
          <t>67%</t>
        </is>
      </c>
    </row>
    <row r="17">
      <c r="A17" s="11" t="inlineStr">
        <is>
          <t>ABAP Developer</t>
        </is>
      </c>
      <c r="B17" s="11" t="n">
        <v>12</v>
      </c>
      <c r="C17" s="11" t="inlineStr">
        <is>
          <t>11%</t>
        </is>
      </c>
    </row>
    <row r="18">
      <c r="A18" s="9" t="inlineStr">
        <is>
          <t>Business Users (UAT)</t>
        </is>
      </c>
      <c r="B18" s="9" t="n">
        <v>5</v>
      </c>
      <c r="C18" s="9" t="inlineStr">
        <is>
          <t>5%</t>
        </is>
      </c>
    </row>
    <row r="19">
      <c r="A19" s="11" t="inlineStr">
        <is>
          <t>Project Manager</t>
        </is>
      </c>
      <c r="B19" s="11" t="n">
        <v>5</v>
      </c>
      <c r="C19" s="11" t="inlineStr">
        <is>
          <t>5%</t>
        </is>
      </c>
    </row>
    <row r="20">
      <c r="A20" s="9" t="inlineStr">
        <is>
          <t>External Teams (HFM, Tagetik, AMANA)</t>
        </is>
      </c>
      <c r="B20" s="9" t="n">
        <v>6</v>
      </c>
      <c r="C20" s="9" t="inlineStr">
        <is>
          <t>6%</t>
        </is>
      </c>
    </row>
    <row r="21">
      <c r="A21" s="11" t="inlineStr">
        <is>
          <t>SAP Basis Administrator</t>
        </is>
      </c>
      <c r="B21" s="11" t="n">
        <v>5</v>
      </c>
      <c r="C21" s="11" t="inlineStr">
        <is>
          <t>5%</t>
        </is>
      </c>
    </row>
    <row r="22">
      <c r="A22" s="9" t="inlineStr">
        <is>
          <t>Treasury Team</t>
        </is>
      </c>
      <c r="B22" s="9" t="n">
        <v>1.5</v>
      </c>
      <c r="C22" s="9" t="inlineStr">
        <is>
          <t>1%</t>
        </is>
      </c>
    </row>
    <row r="23">
      <c r="A23" s="11" t="inlineStr">
        <is>
          <t>Total</t>
        </is>
      </c>
      <c r="B23" s="11" t="n">
        <v>106</v>
      </c>
      <c r="C23" s="11" t="inlineStr">
        <is>
          <t>100%</t>
        </is>
      </c>
    </row>
    <row r="26">
      <c r="A26" s="14" t="inlineStr">
        <is>
          <t>Effort by GAP</t>
        </is>
      </c>
    </row>
    <row r="27">
      <c r="A27" s="8" t="inlineStr">
        <is>
          <t>GAP</t>
        </is>
      </c>
      <c r="B27" s="8" t="inlineStr">
        <is>
          <t>Type</t>
        </is>
      </c>
      <c r="C27" s="8" t="inlineStr">
        <is>
          <t>Effort (PD)</t>
        </is>
      </c>
      <c r="D27" s="8" t="inlineStr">
        <is>
          <t>Notes</t>
        </is>
      </c>
    </row>
    <row r="28">
      <c r="A28" s="9" t="inlineStr">
        <is>
          <t>1. IFRS Financial Statement Structure Definition</t>
        </is>
      </c>
      <c r="B28" s="9" t="inlineStr">
        <is>
          <t>CONFIG</t>
        </is>
      </c>
      <c r="C28" s="9" t="n">
        <v>19</v>
      </c>
      <c r="D28" s="9" t="inlineStr">
        <is>
          <t>Largest single item - 3 FSVs to restructure</t>
        </is>
      </c>
    </row>
    <row r="29">
      <c r="A29" s="11" t="inlineStr">
        <is>
          <t>2. G/L Account to Consolidation Structure Mapping</t>
        </is>
      </c>
      <c r="B29" s="11" t="inlineStr">
        <is>
          <t>CONFIG</t>
        </is>
      </c>
      <c r="C29" s="11" t="n">
        <v>9</v>
      </c>
      <c r="D29" s="11" t="inlineStr">
        <is>
          <t>Table updates + mapping regeneration</t>
        </is>
      </c>
    </row>
    <row r="30">
      <c r="A30" s="9" t="inlineStr">
        <is>
          <t>3. Financial Data Extraction for Group Consolidation</t>
        </is>
      </c>
      <c r="B30" s="9" t="inlineStr">
        <is>
          <t>INTERFACE + CONFIG</t>
        </is>
      </c>
      <c r="C30" s="9" t="n">
        <v>10</v>
      </c>
      <c r="D30" s="9" t="inlineStr">
        <is>
          <t>Includes HFM-side coordination</t>
        </is>
      </c>
    </row>
    <row r="31">
      <c r="A31" s="11" t="inlineStr">
        <is>
          <t>4. Financial Statement Data Export</t>
        </is>
      </c>
      <c r="B31" s="11" t="inlineStr">
        <is>
          <t>INTERFACE</t>
        </is>
      </c>
      <c r="C31" s="11" t="n">
        <v>7</v>
      </c>
      <c r="D31" s="11" t="inlineStr">
        <is>
          <t>Fiori activation + AMANA testing</t>
        </is>
      </c>
    </row>
    <row r="32">
      <c r="A32" s="9" t="inlineStr">
        <is>
          <t>5. Income Statement Reporting (Cost of Sales)</t>
        </is>
      </c>
      <c r="B32" s="9" t="inlineStr">
        <is>
          <t>REPORT</t>
        </is>
      </c>
      <c r="C32" s="9" t="n">
        <v>9</v>
      </c>
      <c r="D32" s="9" t="inlineStr">
        <is>
          <t>New analytical query + optional CDS extension</t>
        </is>
      </c>
    </row>
    <row r="33">
      <c r="A33" s="11" t="inlineStr">
        <is>
          <t>6. Working Capital Balance Sheet Reporting</t>
        </is>
      </c>
      <c r="B33" s="11" t="inlineStr">
        <is>
          <t>ENHANCEMENT</t>
        </is>
      </c>
      <c r="C33" s="11" t="n">
        <v>5</v>
      </c>
      <c r="D33" s="11" t="inlineStr">
        <is>
          <t>CDS view node ID update</t>
        </is>
      </c>
    </row>
    <row r="34">
      <c r="A34" s="9" t="inlineStr">
        <is>
          <t>7. IFRS 16 Lease Accounting Data Loading</t>
        </is>
      </c>
      <c r="B34" s="9" t="inlineStr">
        <is>
          <t>CONFIG</t>
        </is>
      </c>
      <c r="C34" s="9" t="n">
        <v>6</v>
      </c>
      <c r="D34" s="9" t="inlineStr">
        <is>
          <t>Mapping table review + Tagetik coordination</t>
        </is>
      </c>
    </row>
    <row r="35">
      <c r="A35" s="11" t="inlineStr">
        <is>
          <t>SAP Notes &amp; Treasury (Activities 1.7-1.11, 3.8-3.9, 5.8-5.9)</t>
        </is>
      </c>
      <c r="B35" s="11" t="inlineStr">
        <is>
          <t>CONFIG + ADVISORY</t>
        </is>
      </c>
      <c r="C35" s="11" t="n">
        <v>10</v>
      </c>
      <c r="D35" s="11" t="inlineStr">
        <is>
          <t>Not one of the original 7 GAPs - added after reviewing SAP Note 3670330 and the TRM open question</t>
        </is>
      </c>
    </row>
    <row r="36">
      <c r="A36" s="9" t="inlineStr">
        <is>
          <t>Cross-cutting (PM, defect resolution, transports, UAT, hypercare)</t>
        </is>
      </c>
      <c r="B36" s="9" t="inlineStr">
        <is>
          <t>-</t>
        </is>
      </c>
      <c r="C36" s="9" t="n">
        <v>30</v>
      </c>
      <c r="D36" s="9" t="inlineStr">
        <is>
          <t>Shared across all GAPs</t>
        </is>
      </c>
    </row>
    <row r="37">
      <c r="A37" s="11" t="inlineStr">
        <is>
          <t>Total</t>
        </is>
      </c>
      <c r="B37" s="11" t="inlineStr"/>
      <c r="C37" s="11" t="n">
        <v>105</v>
      </c>
      <c r="D37" s="11" t="inlineStr"/>
    </row>
    <row r="40">
      <c r="A40" s="14" t="inlineStr">
        <is>
          <t>Effort by Work Type</t>
        </is>
      </c>
    </row>
    <row r="41">
      <c r="A41" s="8" t="inlineStr">
        <is>
          <t>Category</t>
        </is>
      </c>
      <c r="B41" s="8" t="inlineStr">
        <is>
          <t>Effort (PD)</t>
        </is>
      </c>
      <c r="C41" s="8" t="inlineStr">
        <is>
          <t>% of Total</t>
        </is>
      </c>
    </row>
    <row r="42">
      <c r="A42" s="9" t="inlineStr">
        <is>
          <t>Configuration / Customizing (OB58, SM30, table maintenance)</t>
        </is>
      </c>
      <c r="B42" s="9" t="n">
        <v>30</v>
      </c>
      <c r="C42" s="9" t="inlineStr">
        <is>
          <t>29%</t>
        </is>
      </c>
    </row>
    <row r="43">
      <c r="A43" s="11" t="inlineStr">
        <is>
          <t>Development (CDS views, analytical queries)</t>
        </is>
      </c>
      <c r="B43" s="11" t="n">
        <v>8</v>
      </c>
      <c r="C43" s="11" t="inlineStr">
        <is>
          <t>8%</t>
        </is>
      </c>
    </row>
    <row r="44">
      <c r="A44" s="9" t="inlineStr">
        <is>
          <t>Testing (unit, integration, QA, UAT)</t>
        </is>
      </c>
      <c r="B44" s="9" t="n">
        <v>27</v>
      </c>
      <c r="C44" s="9" t="inlineStr">
        <is>
          <t>26%</t>
        </is>
      </c>
    </row>
    <row r="45">
      <c r="A45" s="11" t="inlineStr">
        <is>
          <t>External Coordination (HFM, Tagetik, AMANA)</t>
        </is>
      </c>
      <c r="B45" s="11" t="n">
        <v>8</v>
      </c>
      <c r="C45" s="11" t="inlineStr">
        <is>
          <t>8%</t>
        </is>
      </c>
    </row>
    <row r="46">
      <c r="A46" s="9" t="inlineStr">
        <is>
          <t>Project Management &amp; Go-Live</t>
        </is>
      </c>
      <c r="B46" s="9" t="n">
        <v>14</v>
      </c>
      <c r="C46" s="9" t="inlineStr">
        <is>
          <t>13%</t>
        </is>
      </c>
    </row>
    <row r="47">
      <c r="A47" s="11" t="inlineStr">
        <is>
          <t>Defect Resolution Buffer</t>
        </is>
      </c>
      <c r="B47" s="11" t="n">
        <v>8</v>
      </c>
      <c r="C47" s="11" t="inlineStr">
        <is>
          <t>8%</t>
        </is>
      </c>
    </row>
    <row r="48">
      <c r="A48" s="9" t="inlineStr">
        <is>
          <t>SAP Note Implementation &amp; Treasury Verification</t>
        </is>
      </c>
      <c r="B48" s="9" t="n">
        <v>10</v>
      </c>
      <c r="C48" s="9" t="inlineStr">
        <is>
          <t>10%</t>
        </is>
      </c>
    </row>
    <row r="49">
      <c r="A49" s="11" t="inlineStr">
        <is>
          <t>Total</t>
        </is>
      </c>
      <c r="B49" s="11" t="n">
        <v>105</v>
      </c>
      <c r="C49" s="11" t="inlineStr">
        <is>
          <t>100%</t>
        </is>
      </c>
    </row>
  </sheetData>
  <mergeCells count="4">
    <mergeCell ref="A1:C1"/>
    <mergeCell ref="A14:C14"/>
    <mergeCell ref="A26:D26"/>
    <mergeCell ref="A40:C4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46" customWidth="1" min="3" max="3"/>
  </cols>
  <sheetData>
    <row r="1">
      <c r="A1" s="14" t="inlineStr">
        <is>
          <t>Key Milestones</t>
        </is>
      </c>
    </row>
    <row r="2">
      <c r="A2" s="8" t="inlineStr">
        <is>
          <t>Date</t>
        </is>
      </c>
      <c r="B2" s="8" t="inlineStr">
        <is>
          <t>Milestone</t>
        </is>
      </c>
    </row>
    <row r="3">
      <c r="A3" s="9" t="inlineStr">
        <is>
          <t>2026-07-18</t>
        </is>
      </c>
      <c r="B3" s="9" t="inlineStr">
        <is>
          <t>SAP Note 3670330 reviewed and child notes identified (new - precedes FSV restructuring)</t>
        </is>
      </c>
    </row>
    <row r="4">
      <c r="A4" s="11" t="inlineStr">
        <is>
          <t>2026-07-25</t>
        </is>
      </c>
      <c r="B4" s="11" t="inlineStr">
        <is>
          <t>Design complete - FSV node structures and HFM positions defined</t>
        </is>
      </c>
    </row>
    <row r="5">
      <c r="A5" s="9" t="inlineStr">
        <is>
          <t>2026-08-15</t>
        </is>
      </c>
      <c r="B5" s="9" t="inlineStr">
        <is>
          <t>FSV restructuring complete in CSD (ZHFM, ZCPL, ZUKV)</t>
        </is>
      </c>
    </row>
    <row r="6">
      <c r="A6" s="11" t="inlineStr">
        <is>
          <t>2026-09-05</t>
        </is>
      </c>
      <c r="B6" s="11" t="inlineStr">
        <is>
          <t>All configuration and development complete in CSD</t>
        </is>
      </c>
    </row>
    <row r="7">
      <c r="A7" s="9" t="inlineStr">
        <is>
          <t>2026-09-19</t>
        </is>
      </c>
      <c r="B7" s="9" t="inlineStr">
        <is>
          <t>Interface validation complete (HFM, AMANA)</t>
        </is>
      </c>
    </row>
    <row r="8">
      <c r="A8" s="11" t="inlineStr">
        <is>
          <t>2026-10-10</t>
        </is>
      </c>
      <c r="B8" s="11" t="inlineStr">
        <is>
          <t>Integration testing complete - all defects resolved</t>
        </is>
      </c>
    </row>
    <row r="9">
      <c r="A9" s="9" t="inlineStr">
        <is>
          <t>2026-10-13</t>
        </is>
      </c>
      <c r="B9" s="9" t="inlineStr">
        <is>
          <t>Transport to CSQ</t>
        </is>
      </c>
    </row>
    <row r="10">
      <c r="A10" s="11" t="inlineStr">
        <is>
          <t>2026-11-07</t>
        </is>
      </c>
      <c r="B10" s="11" t="inlineStr">
        <is>
          <t>UAT sign-off</t>
        </is>
      </c>
    </row>
    <row r="11">
      <c r="A11" s="9" t="inlineStr">
        <is>
          <t>2026-11-10</t>
        </is>
      </c>
      <c r="B11" s="9" t="inlineStr">
        <is>
          <t>Transport to CSP (Production)</t>
        </is>
      </c>
    </row>
    <row r="12">
      <c r="A12" s="11" t="inlineStr">
        <is>
          <t>2026-11-14</t>
        </is>
      </c>
      <c r="B12" s="11" t="inlineStr">
        <is>
          <t>Go-live verification complete</t>
        </is>
      </c>
    </row>
    <row r="13">
      <c r="A13" s="9" t="inlineStr">
        <is>
          <t>2026-12-05</t>
        </is>
      </c>
      <c r="B13" s="9" t="inlineStr">
        <is>
          <t>Hypercare ends</t>
        </is>
      </c>
    </row>
    <row r="14">
      <c r="A14" s="11" t="inlineStr">
        <is>
          <t>2027-01-01</t>
        </is>
      </c>
      <c r="B14" s="11" t="inlineStr">
        <is>
          <t>IFRS 18 effective - system fully operational</t>
        </is>
      </c>
    </row>
    <row r="17">
      <c r="A17" s="14" t="inlineStr">
        <is>
          <t>Risks</t>
        </is>
      </c>
    </row>
    <row r="18">
      <c r="A18" s="8" t="inlineStr">
        <is>
          <t>Risk</t>
        </is>
      </c>
      <c r="B18" s="8" t="inlineStr">
        <is>
          <t>Impact</t>
        </is>
      </c>
      <c r="C18" s="8" t="inlineStr">
        <is>
          <t>Mitigation</t>
        </is>
      </c>
    </row>
    <row r="19">
      <c r="A19" s="9" t="inlineStr">
        <is>
          <t>HFM-side changes delayed (external team dependency)</t>
        </is>
      </c>
      <c r="B19" s="9" t="inlineStr">
        <is>
          <t>Blocks end-to-end validation of consolidation interface</t>
        </is>
      </c>
      <c r="C19" s="9" t="inlineStr">
        <is>
          <t>Early kick-off in Phase 1; parallel workstream with HFM team starting Aug 18</t>
        </is>
      </c>
    </row>
    <row r="20">
      <c r="A20" s="11" t="inlineStr">
        <is>
          <t>Tagetik introduces new account codes for IFRS 18</t>
        </is>
      </c>
      <c r="B20" s="11" t="inlineStr">
        <is>
          <t>Additional mapping table entries needed in ZFI_IFRS16</t>
        </is>
      </c>
      <c r="C20" s="11" t="inlineStr">
        <is>
          <t>Coordinate with Tagetik team in Phase 1; buffer in Phase 3</t>
        </is>
      </c>
    </row>
    <row r="21">
      <c r="A21" s="9" t="inlineStr">
        <is>
          <t>FG/FX filtering required for P&amp;L report</t>
        </is>
      </c>
      <c r="B21" s="9" t="inlineStr">
        <is>
          <t>Adds CDS view extension development (2 extra PD)</t>
        </is>
      </c>
      <c r="C21" s="9" t="inlineStr">
        <is>
          <t>Business decision in Phase 4 activity 4.1; effort already included as optional</t>
        </is>
      </c>
    </row>
    <row r="22">
      <c r="A22" s="11" t="inlineStr">
        <is>
          <t>ZHFM hierarchy node IDs change more extensively than expected</t>
        </is>
      </c>
      <c r="B22" s="11" t="inlineStr">
        <is>
          <t>More CDS view updates needed in working capital report</t>
        </is>
      </c>
      <c r="C22" s="11" t="inlineStr">
        <is>
          <t>Detailed node mapping in Phase 1 activity 1.2 identifies all affected nodes upfront</t>
        </is>
      </c>
    </row>
    <row r="23">
      <c r="A23" s="9" t="inlineStr">
        <is>
          <t>Transport conflicts in CSQ/CSP</t>
        </is>
      </c>
      <c r="B23" s="9" t="inlineStr">
        <is>
          <t>Delays go-live</t>
        </is>
      </c>
      <c r="C23" s="9" t="inlineStr">
        <is>
          <t>Dedicated transport request preparation; coordinate with other project teams</t>
        </is>
      </c>
    </row>
    <row r="24">
      <c r="A24" s="11" t="inlineStr">
        <is>
          <t>IFRS 18 updates IAS 7 - dividends paid to Investing, interest paid to Financing, interest received to Investing</t>
        </is>
      </c>
      <c r="B24" s="11" t="inlineStr">
        <is>
          <t>Existing cash-flow reports/CDS views built on the old flexible classification may need updates</t>
        </is>
      </c>
      <c r="C24" s="11" t="inlineStr">
        <is>
          <t>Add cash-flow classification check to Phase 2 unit testing (Activity 2.4); validate CDS view in Activity 5.8</t>
        </is>
      </c>
    </row>
    <row r="25">
      <c r="A25" s="9" t="inlineStr">
        <is>
          <t>SAP's own solution approach (Note 3670330) is still evolving and doesn't cover third-party (HFM) consolidation</t>
        </is>
      </c>
      <c r="B25" s="9" t="inlineStr">
        <is>
          <t>Limited pre-built SAP support beyond the existing FSV/OB58 approach; HFM alignment remains fully this project's responsibility</t>
        </is>
      </c>
      <c r="C25" s="9" t="inlineStr">
        <is>
          <t>Read Note 3696338 (Private Cloud/On-Premise) early in Phase 1 (Activity 1.7); consider a Customer Influence Request; re-check 3670330 periodically</t>
        </is>
      </c>
    </row>
    <row r="26">
      <c r="A26" s="11" t="inlineStr">
        <is>
          <t>R8: SAP Note 3670330 corrections not valid for the current release</t>
        </is>
      </c>
      <c r="B26" s="11" t="inlineStr">
        <is>
          <t>Delays Activity 1.7/3.8; may require upgrade or manual backport</t>
        </is>
      </c>
      <c r="C26" s="11" t="inlineStr">
        <is>
          <t>Check each note's Validity section during Activity 1.7; escalate to Basis/upgrade planning early if needed (Probability: Low)</t>
        </is>
      </c>
    </row>
    <row r="27">
      <c r="A27" s="9" t="inlineStr">
        <is>
          <t>R9: Treasury G/L accounts not correctly classified under IFRS 18</t>
        </is>
      </c>
      <c r="B27" s="9" t="inlineStr">
        <is>
          <t>Misstated Operating/Investing/Financing subtotals for treasury-driven P&amp;L items, discovered late</t>
        </is>
      </c>
      <c r="C27" s="9" t="inlineStr">
        <is>
          <t>Activities 1.10 and 5.9 explicitly verify this; treat confirmed TRM accounts like the ZFI_IFRS16 review in GAP 7 (Probability: Medium)</t>
        </is>
      </c>
    </row>
    <row r="30">
      <c r="A30" s="14" t="inlineStr">
        <is>
          <t>Assumptions</t>
        </is>
      </c>
    </row>
    <row r="31">
      <c r="A31" s="8" t="inlineStr">
        <is>
          <t>Assumption</t>
        </is>
      </c>
      <c r="B31" s="8" t="inlineStr">
        <is>
          <t>Impact if Invalid</t>
        </is>
      </c>
    </row>
    <row r="32">
      <c r="A32" s="9" t="inlineStr">
        <is>
          <t>FSV restructuring design (G/L account -&gt; IFRS 18 category mapping) agreed by group accounting</t>
        </is>
      </c>
      <c r="B32" s="9" t="inlineStr">
        <is>
          <t>Phase 1 may need to be extended if not yet agreed</t>
        </is>
      </c>
    </row>
    <row r="33">
      <c r="A33" s="11" t="inlineStr">
        <is>
          <t>CSD development system available for configuration/development throughout the project</t>
        </is>
      </c>
      <c r="B33" s="11" t="inlineStr">
        <is>
          <t>Delays configuration and development work if unavailable</t>
        </is>
      </c>
    </row>
    <row r="34">
      <c r="A34" s="9" t="inlineStr">
        <is>
          <t>No other major transports to CSQ/CSP conflict with this project's transport window</t>
        </is>
      </c>
      <c r="B34" s="9" t="inlineStr">
        <is>
          <t>Could delay QA/production transports</t>
        </is>
      </c>
    </row>
    <row r="35">
      <c r="A35" s="11" t="inlineStr">
        <is>
          <t>HFM, Tagetik, and AMANA teams have capacity for their respective workstreams within the timeline</t>
        </is>
      </c>
      <c r="B35" s="11" t="inlineStr">
        <is>
          <t>External dependency slippage is the largest schedule risk</t>
        </is>
      </c>
    </row>
    <row r="36">
      <c r="A36" s="9" t="inlineStr">
        <is>
          <t>Pre-IFRS 18 backup FSVs (XHFM, XCPL, XUKV) remain untouched for comparison/audit</t>
        </is>
      </c>
      <c r="B36" s="9" t="inlineStr">
        <is>
          <t>Loss of audit trail / comparison baseline if backups are modified</t>
        </is>
      </c>
    </row>
  </sheetData>
  <mergeCells count="3">
    <mergeCell ref="A17:C17"/>
    <mergeCell ref="A30:B30"/>
    <mergeCell ref="A1:B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4" t="inlineStr">
        <is>
          <t>RACI Matrix (R = Responsible, A = Accountable, C = Consulted, I = Informed)</t>
        </is>
      </c>
    </row>
    <row r="2" ht="30" customHeight="1">
      <c r="A2" s="8" t="inlineStr">
        <is>
          <t>Activity / Capability</t>
        </is>
      </c>
      <c r="B2" s="8" t="inlineStr">
        <is>
          <t>FI/CO Functional
Consultant</t>
        </is>
      </c>
      <c r="C2" s="8" t="inlineStr">
        <is>
          <t>ABAP
Developer</t>
        </is>
      </c>
      <c r="D2" s="8" t="inlineStr">
        <is>
          <t>SAP Basis</t>
        </is>
      </c>
      <c r="E2" s="8" t="inlineStr">
        <is>
          <t>Project
Manager</t>
        </is>
      </c>
      <c r="F2" s="8" t="inlineStr">
        <is>
          <t>Group
Accounting</t>
        </is>
      </c>
      <c r="G2" s="8" t="inlineStr">
        <is>
          <t>HFM Team</t>
        </is>
      </c>
      <c r="H2" s="8" t="inlineStr">
        <is>
          <t>Tagetik Team</t>
        </is>
      </c>
      <c r="I2" s="8" t="inlineStr">
        <is>
          <t>AMANA Team</t>
        </is>
      </c>
      <c r="J2" s="8" t="inlineStr">
        <is>
          <t>Business Users</t>
        </is>
      </c>
    </row>
    <row r="3">
      <c r="A3" s="9" t="inlineStr">
        <is>
          <t>1. FSV Restructuring (ZHFM, ZCPL, ZUKV)</t>
        </is>
      </c>
      <c r="B3" s="15" t="inlineStr">
        <is>
          <t>R/A</t>
        </is>
      </c>
      <c r="C3" s="15" t="inlineStr">
        <is>
          <t>-</t>
        </is>
      </c>
      <c r="D3" s="15" t="inlineStr">
        <is>
          <t>-</t>
        </is>
      </c>
      <c r="E3" s="15" t="inlineStr">
        <is>
          <t>C</t>
        </is>
      </c>
      <c r="F3" s="15" t="inlineStr">
        <is>
          <t>I</t>
        </is>
      </c>
      <c r="G3" s="15" t="inlineStr">
        <is>
          <t>-</t>
        </is>
      </c>
      <c r="H3" s="15" t="inlineStr">
        <is>
          <t>-</t>
        </is>
      </c>
      <c r="I3" s="15" t="inlineStr">
        <is>
          <t>-</t>
        </is>
      </c>
    </row>
    <row r="4">
      <c r="A4" s="11" t="inlineStr">
        <is>
          <t>2. G/L Account to HFM Structure Mapping</t>
        </is>
      </c>
      <c r="B4" s="16" t="inlineStr">
        <is>
          <t>R/A</t>
        </is>
      </c>
      <c r="C4" s="16" t="inlineStr">
        <is>
          <t>-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C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</row>
    <row r="5">
      <c r="A5" s="9" t="inlineStr">
        <is>
          <t>3. Financial Data Extraction for Consolidation</t>
        </is>
      </c>
      <c r="B5" s="15" t="inlineStr">
        <is>
          <t>R/A</t>
        </is>
      </c>
      <c r="C5" s="15" t="inlineStr">
        <is>
          <t>-</t>
        </is>
      </c>
      <c r="D5" s="15" t="inlineStr">
        <is>
          <t>-</t>
        </is>
      </c>
      <c r="E5" s="15" t="inlineStr">
        <is>
          <t>-</t>
        </is>
      </c>
      <c r="F5" s="15" t="inlineStr">
        <is>
          <t>R</t>
        </is>
      </c>
      <c r="G5" s="15" t="inlineStr">
        <is>
          <t>-</t>
        </is>
      </c>
      <c r="H5" s="15" t="inlineStr">
        <is>
          <t>-</t>
        </is>
      </c>
      <c r="I5" s="15" t="inlineStr">
        <is>
          <t>-</t>
        </is>
      </c>
    </row>
    <row r="6">
      <c r="A6" s="11" t="inlineStr">
        <is>
          <t>4. Financial Statement Data Export / AMANA</t>
        </is>
      </c>
      <c r="B6" s="16" t="inlineStr">
        <is>
          <t>R/A</t>
        </is>
      </c>
      <c r="C6" s="16" t="inlineStr">
        <is>
          <t>C</t>
        </is>
      </c>
      <c r="D6" s="16" t="inlineStr">
        <is>
          <t>C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R</t>
        </is>
      </c>
      <c r="I6" s="16" t="inlineStr">
        <is>
          <t>-</t>
        </is>
      </c>
    </row>
    <row r="7">
      <c r="A7" s="9" t="inlineStr">
        <is>
          <t>5. P&amp;L Report by Cost of Sales Method</t>
        </is>
      </c>
      <c r="B7" s="15" t="inlineStr">
        <is>
          <t>A</t>
        </is>
      </c>
      <c r="C7" s="15" t="inlineStr">
        <is>
          <t>R</t>
        </is>
      </c>
      <c r="D7" s="15" t="inlineStr">
        <is>
          <t>-</t>
        </is>
      </c>
      <c r="E7" s="15" t="inlineStr">
        <is>
          <t>-</t>
        </is>
      </c>
      <c r="F7" s="15" t="inlineStr">
        <is>
          <t>C</t>
        </is>
      </c>
      <c r="G7" s="15" t="inlineStr">
        <is>
          <t>-</t>
        </is>
      </c>
      <c r="H7" s="15" t="inlineStr">
        <is>
          <t>-</t>
        </is>
      </c>
      <c r="I7" s="15" t="inlineStr">
        <is>
          <t>C</t>
        </is>
      </c>
    </row>
    <row r="8">
      <c r="A8" s="11" t="inlineStr">
        <is>
          <t>6. Working Capital Balance Sheet Report</t>
        </is>
      </c>
      <c r="B8" s="16" t="inlineStr">
        <is>
          <t>A</t>
        </is>
      </c>
      <c r="C8" s="16" t="inlineStr">
        <is>
          <t>R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C</t>
        </is>
      </c>
    </row>
    <row r="9">
      <c r="A9" s="9" t="inlineStr">
        <is>
          <t>7. IFRS 16 Lease Accounting Data Loading</t>
        </is>
      </c>
      <c r="B9" s="15" t="inlineStr">
        <is>
          <t>R/A</t>
        </is>
      </c>
      <c r="C9" s="15" t="inlineStr">
        <is>
          <t>-</t>
        </is>
      </c>
      <c r="D9" s="15" t="inlineStr">
        <is>
          <t>-</t>
        </is>
      </c>
      <c r="E9" s="15" t="inlineStr">
        <is>
          <t>-</t>
        </is>
      </c>
      <c r="F9" s="15" t="inlineStr">
        <is>
          <t>-</t>
        </is>
      </c>
      <c r="G9" s="15" t="inlineStr">
        <is>
          <t>-</t>
        </is>
      </c>
      <c r="H9" s="15" t="inlineStr">
        <is>
          <t>R</t>
        </is>
      </c>
      <c r="I9" s="15" t="inlineStr">
        <is>
          <t>-</t>
        </is>
      </c>
    </row>
    <row r="10">
      <c r="A10" s="11" t="inlineStr">
        <is>
          <t>Transport management (CSD/CSQ/CSP)</t>
        </is>
      </c>
      <c r="B10" s="16" t="inlineStr">
        <is>
          <t>C</t>
        </is>
      </c>
      <c r="C10" s="16" t="inlineStr">
        <is>
          <t>C</t>
        </is>
      </c>
      <c r="D10" s="16" t="inlineStr">
        <is>
          <t>R/A</t>
        </is>
      </c>
      <c r="E10" s="16" t="inlineStr">
        <is>
          <t>I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</row>
    <row r="11">
      <c r="A11" s="9" t="inlineStr">
        <is>
          <t>QA smoke testing</t>
        </is>
      </c>
      <c r="B11" s="15" t="inlineStr">
        <is>
          <t>R/A</t>
        </is>
      </c>
      <c r="C11" s="15" t="inlineStr">
        <is>
          <t>C</t>
        </is>
      </c>
      <c r="D11" s="15" t="inlineStr">
        <is>
          <t>-</t>
        </is>
      </c>
      <c r="E11" s="15" t="inlineStr">
        <is>
          <t>I</t>
        </is>
      </c>
      <c r="F11" s="15" t="inlineStr">
        <is>
          <t>-</t>
        </is>
      </c>
      <c r="G11" s="15" t="inlineStr">
        <is>
          <t>-</t>
        </is>
      </c>
      <c r="H11" s="15" t="inlineStr">
        <is>
          <t>-</t>
        </is>
      </c>
      <c r="I11" s="15" t="inlineStr">
        <is>
          <t>-</t>
        </is>
      </c>
    </row>
    <row r="12">
      <c r="A12" s="11" t="inlineStr">
        <is>
          <t>User acceptance testing (UAT)</t>
        </is>
      </c>
      <c r="B12" s="16" t="inlineStr">
        <is>
          <t>C</t>
        </is>
      </c>
      <c r="C12" s="16" t="inlineStr">
        <is>
          <t>-</t>
        </is>
      </c>
      <c r="D12" s="16" t="inlineStr">
        <is>
          <t>-</t>
        </is>
      </c>
      <c r="E12" s="16" t="inlineStr">
        <is>
          <t>A</t>
        </is>
      </c>
      <c r="F12" s="16" t="inlineStr">
        <is>
          <t>C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R</t>
        </is>
      </c>
    </row>
    <row r="13">
      <c r="A13" s="9" t="inlineStr">
        <is>
          <t>Go-live communication &amp; hypercare</t>
        </is>
      </c>
      <c r="B13" s="15" t="inlineStr">
        <is>
          <t>R</t>
        </is>
      </c>
      <c r="C13" s="15" t="inlineStr">
        <is>
          <t>R</t>
        </is>
      </c>
      <c r="D13" s="15" t="inlineStr">
        <is>
          <t>C</t>
        </is>
      </c>
      <c r="E13" s="15" t="inlineStr">
        <is>
          <t>A</t>
        </is>
      </c>
      <c r="F13" s="15" t="inlineStr">
        <is>
          <t>I</t>
        </is>
      </c>
      <c r="G13" s="15" t="inlineStr">
        <is>
          <t>I</t>
        </is>
      </c>
      <c r="H13" s="15" t="inlineStr">
        <is>
          <t>I</t>
        </is>
      </c>
      <c r="I13" s="15" t="inlineStr">
        <is>
          <t>I</t>
        </is>
      </c>
    </row>
    <row r="14">
      <c r="A14" s="11" t="inlineStr">
        <is>
          <t>Overall project coordination</t>
        </is>
      </c>
      <c r="B14" s="16" t="inlineStr">
        <is>
          <t>C</t>
        </is>
      </c>
      <c r="C14" s="16" t="inlineStr">
        <is>
          <t>C</t>
        </is>
      </c>
      <c r="D14" s="16" t="inlineStr">
        <is>
          <t>C</t>
        </is>
      </c>
      <c r="E14" s="16" t="inlineStr">
        <is>
          <t>R/A</t>
        </is>
      </c>
      <c r="F14" s="16" t="inlineStr">
        <is>
          <t>I</t>
        </is>
      </c>
      <c r="G14" s="16" t="inlineStr">
        <is>
          <t>I</t>
        </is>
      </c>
      <c r="H14" s="16" t="inlineStr">
        <is>
          <t>I</t>
        </is>
      </c>
      <c r="I14" s="16" t="inlineStr">
        <is>
          <t>I</t>
        </is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46" customWidth="1" min="3" max="3"/>
    <col width="30" customWidth="1" min="4" max="4"/>
    <col width="50" customWidth="1" min="5" max="5"/>
  </cols>
  <sheetData>
    <row r="1">
      <c r="A1" s="14" t="inlineStr">
        <is>
          <t>Confirmed SAP Notes</t>
        </is>
      </c>
    </row>
    <row r="2">
      <c r="A2" s="8" t="inlineStr">
        <is>
          <t>Note</t>
        </is>
      </c>
      <c r="B2" s="8" t="inlineStr">
        <is>
          <t>Title</t>
        </is>
      </c>
      <c r="C2" s="8" t="inlineStr">
        <is>
          <t>Component</t>
        </is>
      </c>
      <c r="D2" s="8" t="inlineStr">
        <is>
          <t>Validity / Status</t>
        </is>
      </c>
      <c r="E2" s="8" t="inlineStr">
        <is>
          <t>Relevance / Action</t>
        </is>
      </c>
    </row>
    <row r="3">
      <c r="A3" s="9" t="inlineStr">
        <is>
          <t>3670330</t>
        </is>
      </c>
      <c r="B3" s="9" t="inlineStr">
        <is>
          <t>Financial Reporting according to IFRS 18 in SAP S/4HANA Cloud, SAP S/4HANA</t>
        </is>
      </c>
      <c r="C3" s="9" t="inlineStr">
        <is>
          <t>FI-GL</t>
        </is>
      </c>
      <c r="D3" s="9" t="inlineStr">
        <is>
          <t>v7, released 06.01.2026</t>
        </is>
      </c>
      <c r="E3" s="9" t="inlineStr">
        <is>
          <t>Central/umbrella note. Read first. Check Validity section and all child notes.</t>
        </is>
      </c>
    </row>
    <row r="4">
      <c r="A4" s="11" t="inlineStr">
        <is>
          <t>3694359</t>
        </is>
      </c>
      <c r="B4" s="11" t="inlineStr">
        <is>
          <t>How to Adopt IFRS 18 for Financial Reporting in S/4HANA Cloud Public Edition</t>
        </is>
      </c>
      <c r="C4" s="11" t="inlineStr">
        <is>
          <t>FI-GL</t>
        </is>
      </c>
      <c r="D4" s="11" t="inlineStr">
        <is>
          <t>Referenced by 3670330</t>
        </is>
      </c>
      <c r="E4" s="11" t="inlineStr">
        <is>
          <t>Low relevance - this landscape is not on Public Edition.</t>
        </is>
      </c>
    </row>
    <row r="5">
      <c r="A5" s="9" t="inlineStr">
        <is>
          <t>3696338</t>
        </is>
      </c>
      <c r="B5" s="9" t="inlineStr">
        <is>
          <t>Advisory Note on IFRS 18 Transition in S/4HANA Private Cloud, S/4HANA</t>
        </is>
      </c>
      <c r="C5" s="9" t="inlineStr">
        <is>
          <t>FI-GL</t>
        </is>
      </c>
      <c r="D5" s="9" t="inlineStr">
        <is>
          <t>Referenced by 3670330</t>
        </is>
      </c>
      <c r="E5" s="9" t="inlineStr">
        <is>
          <t>HIGH relevance - read this one next; matches this landscape's classic transactions/custom ABAP profile.</t>
        </is>
      </c>
    </row>
    <row r="6">
      <c r="A6" s="11" t="inlineStr">
        <is>
          <t>3700153</t>
        </is>
      </c>
      <c r="B6" s="11" t="inlineStr">
        <is>
          <t>Advisory Note on IFRS 18 Transition in SAP ERP</t>
        </is>
      </c>
      <c r="C6" s="11" t="inlineStr">
        <is>
          <t>FI-GL</t>
        </is>
      </c>
      <c r="D6" s="11" t="inlineStr">
        <is>
          <t>Referenced by 3670330</t>
        </is>
      </c>
      <c r="E6" s="11" t="inlineStr">
        <is>
          <t>Low relevance - only applicable if part of the landscape is still on classic ERP/ECC.</t>
        </is>
      </c>
    </row>
    <row r="9">
      <c r="A9" s="14" t="inlineStr">
        <is>
          <t>Child / Further Note Search Guide (me.sap.com/notes)</t>
        </is>
      </c>
    </row>
    <row r="10">
      <c r="A10" s="8" t="inlineStr">
        <is>
          <t>Search Term</t>
        </is>
      </c>
      <c r="B10" s="8" t="inlineStr">
        <is>
          <t>Application Component</t>
        </is>
      </c>
      <c r="C10" s="8" t="inlineStr">
        <is>
          <t>Why</t>
        </is>
      </c>
    </row>
    <row r="11">
      <c r="A11" s="9" t="inlineStr">
        <is>
          <t>IFRS 18</t>
        </is>
      </c>
      <c r="B11" s="9" t="inlineStr">
        <is>
          <t>FI-GL</t>
        </is>
      </c>
      <c r="C11" s="9" t="inlineStr">
        <is>
          <t>Core GL changes for IFRS 18 presentation</t>
        </is>
      </c>
    </row>
    <row r="12">
      <c r="A12" s="11" t="inlineStr">
        <is>
          <t>IFRS 18</t>
        </is>
      </c>
      <c r="B12" s="11" t="inlineStr">
        <is>
          <t>FI-FIO-GL-HIE</t>
        </is>
      </c>
      <c r="C12" s="11" t="inlineStr">
        <is>
          <t>Hierarchy/FSV enhancements for new categories</t>
        </is>
      </c>
    </row>
    <row r="13">
      <c r="A13" s="9" t="inlineStr">
        <is>
          <t>IFRS 18</t>
        </is>
      </c>
      <c r="B13" s="9" t="inlineStr">
        <is>
          <t>FI-FIO-GL-REP</t>
        </is>
      </c>
      <c r="C13" s="9" t="inlineStr">
        <is>
          <t>Financial statement reporting updates</t>
        </is>
      </c>
    </row>
    <row r="14">
      <c r="A14" s="11" t="inlineStr">
        <is>
          <t>IFRS 18</t>
        </is>
      </c>
      <c r="B14" s="11" t="inlineStr">
        <is>
          <t>FI-FIO-GL-KPI</t>
        </is>
      </c>
      <c r="C14" s="11" t="inlineStr">
        <is>
          <t>New semantic tags for Operating Profit, Profit before Financing</t>
        </is>
      </c>
    </row>
    <row r="15">
      <c r="A15" s="9" t="inlineStr">
        <is>
          <t>IFRS 18</t>
        </is>
      </c>
      <c r="B15" s="9" t="inlineStr">
        <is>
          <t>FIN-CS</t>
        </is>
      </c>
      <c r="C15" s="9" t="inlineStr">
        <is>
          <t>Group Reporting / consolidation impacts</t>
        </is>
      </c>
    </row>
    <row r="16">
      <c r="A16" s="11" t="inlineStr">
        <is>
          <t>IFRS 18</t>
        </is>
      </c>
      <c r="B16" s="11" t="inlineStr">
        <is>
          <t>CA-GTF-CSC-EDO</t>
        </is>
      </c>
      <c r="C16" s="11" t="inlineStr">
        <is>
          <t>Electronic disclosure / XBRL taxonomy updates</t>
        </is>
      </c>
    </row>
    <row r="19">
      <c r="A19" s="14" t="inlineStr">
        <is>
          <t>SAP Content Deliverables Tracker</t>
        </is>
      </c>
    </row>
    <row r="20">
      <c r="A20" s="8" t="inlineStr">
        <is>
          <t>Deliverable</t>
        </is>
      </c>
      <c r="B20" s="8" t="inlineStr">
        <is>
          <t>Description</t>
        </is>
      </c>
      <c r="C20" s="8" t="inlineStr">
        <is>
          <t>Status</t>
        </is>
      </c>
      <c r="D20" s="8" t="inlineStr">
        <is>
          <t>Action / Activity Reference</t>
        </is>
      </c>
    </row>
    <row r="21">
      <c r="A21" s="9" t="inlineStr">
        <is>
          <t>SAP Note 3670330</t>
        </is>
      </c>
      <c r="B21" s="9" t="inlineStr">
        <is>
          <t>Central IFRS 18 note</t>
        </is>
      </c>
      <c r="C21" s="9" t="inlineStr">
        <is>
          <t>Confirmed - see table above</t>
        </is>
      </c>
      <c r="D21" s="9" t="inlineStr">
        <is>
          <t>Review + implement via SNOTE (Activities 1.7, 3.8)</t>
        </is>
      </c>
    </row>
    <row r="22">
      <c r="A22" s="11" t="inlineStr">
        <is>
          <t>Scope Item 1SG (Group Reporting reference content)</t>
        </is>
      </c>
      <c r="B22" s="11" t="inlineStr">
        <is>
          <t>Extends/restructures Consolidation CoA and Income Statement; updates Cash Flow Statement starting point to Operating Profit</t>
        </is>
      </c>
      <c r="C22" s="11" t="inlineStr">
        <is>
          <t>Confirmed via SAP+PwC blog (giulio_peretti, 2025-11-06)</t>
        </is>
      </c>
      <c r="D22" s="11" t="inlineStr">
        <is>
          <t>Reference only - this landscape uses HFM, not SAP Group Reporting (Activity 1.11)</t>
        </is>
      </c>
    </row>
    <row r="23">
      <c r="A23" s="9" t="inlineStr">
        <is>
          <t>SAP IFRS 18 webinar series</t>
        </is>
      </c>
      <c r="B23" s="9" t="inlineStr">
        <is>
          <t>Technical guidance sessions, Feb/Mar 2026</t>
        </is>
      </c>
      <c r="C23" s="9" t="inlineStr">
        <is>
          <t>Recordings likely available</t>
        </is>
      </c>
      <c r="D23" s="9" t="inlineStr">
        <is>
          <t>Review recordings (Activity 1.8)</t>
        </is>
      </c>
    </row>
    <row r="24">
      <c r="A24" s="11" t="inlineStr">
        <is>
          <t>New semantic tags (Operating Profit, Profit before Financing and Income Tax)</t>
        </is>
      </c>
      <c r="B24" s="11" t="inlineStr">
        <is>
          <t>KPI framework / Cash Flow Statement app support</t>
        </is>
      </c>
      <c r="C24" s="11" t="inlineStr">
        <is>
          <t>Not yet confirmed for this release</t>
        </is>
      </c>
      <c r="D24" s="11" t="inlineStr">
        <is>
          <t>Verify during Activity 3.9</t>
        </is>
      </c>
    </row>
    <row r="25">
      <c r="A25" s="9" t="inlineStr">
        <is>
          <t>Cash Flow Statement CDS view 2CCFICSHFLINDIFRS</t>
        </is>
      </c>
      <c r="B25" s="9" t="inlineStr">
        <is>
          <t>Indirect method CFS for IFRS</t>
        </is>
      </c>
      <c r="C25" s="9" t="inlineStr">
        <is>
          <t>Available in current release; update status not yet confirmed</t>
        </is>
      </c>
      <c r="D25" s="9" t="inlineStr">
        <is>
          <t>Validate during Activity 5.8</t>
        </is>
      </c>
    </row>
    <row r="28">
      <c r="A28" s="14" t="inlineStr">
        <is>
          <t>External Source References</t>
        </is>
      </c>
    </row>
    <row r="29">
      <c r="A29" s="8" t="inlineStr">
        <is>
          <t>Blog Title</t>
        </is>
      </c>
      <c r="B29" s="8" t="inlineStr">
        <is>
          <t>Author</t>
        </is>
      </c>
      <c r="C29" s="8" t="inlineStr">
        <is>
          <t>Date</t>
        </is>
      </c>
      <c r="D29" s="8" t="inlineStr">
        <is>
          <t>Platform</t>
        </is>
      </c>
      <c r="E29" s="8" t="inlineStr">
        <is>
          <t>Key Takeaway</t>
        </is>
      </c>
    </row>
    <row r="30">
      <c r="A30" s="9" t="inlineStr">
        <is>
          <t>IFRS 18 Explained: What SAP S/4HANA Customers Need to Know Before 2027</t>
        </is>
      </c>
      <c r="B30" s="9" t="inlineStr">
        <is>
          <t>Praveenirrinki (SAP)</t>
        </is>
      </c>
      <c r="C30" s="9" t="inlineStr">
        <is>
          <t>2025-12-02</t>
        </is>
      </c>
      <c r="D30" s="9" t="inlineStr">
        <is>
          <t>SAP Community - Financial Management Blog Posts by SAP</t>
        </is>
      </c>
      <c r="E30" s="9" t="inlineStr">
        <is>
          <t>General IFRS 18 background; confirms Note 3670330; links SAP webinar series (Feb/Mar 2026)</t>
        </is>
      </c>
    </row>
    <row r="31">
      <c r="A31" s="11" t="inlineStr">
        <is>
          <t>IFRS 18 and SAP S/4HANA Group Reporting: What It Means and How to Get Ahead</t>
        </is>
      </c>
      <c r="B31" s="11" t="inlineStr">
        <is>
          <t>giulio_peretti, co-authored with PwC</t>
        </is>
      </c>
      <c r="C31" s="11" t="inlineStr">
        <is>
          <t>2025-11-06</t>
        </is>
      </c>
      <c r="D31" s="11" t="inlineStr">
        <is>
          <t>SAP Community - Financial Management Blog Posts by Members</t>
        </is>
      </c>
      <c r="E31" s="11" t="inlineStr">
        <is>
          <t>Detailed SAP Group Reporting IFRS 18 capabilities; Scope Item 1SG update; PwC implementation approach</t>
        </is>
      </c>
    </row>
    <row r="32">
      <c r="A32" s="9" t="inlineStr">
        <is>
          <t>Unlocking the Value of SAP TRM for Corporate Treasury</t>
        </is>
      </c>
      <c r="B32" s="9" t="inlineStr">
        <is>
          <t>mezeshan</t>
        </is>
      </c>
      <c r="C32" s="9" t="inlineStr">
        <is>
          <t>2026 (exact date not captured)</t>
        </is>
      </c>
      <c r="D32" s="9" t="inlineStr">
        <is>
          <t>SAP Community - Financial Management Blog Posts by Members</t>
        </is>
      </c>
      <c r="E32" s="9" t="inlineStr">
        <is>
          <t>General TRM tips; item #15 corroborates Note 3670330; links a treasury-specific IFRS 18 blog (URL truncated, not yet reviewed)</t>
        </is>
      </c>
    </row>
    <row r="35">
      <c r="A35" s="14" t="inlineStr">
        <is>
          <t>Treasury G/L Account Classification Checklist</t>
        </is>
      </c>
    </row>
    <row r="36">
      <c r="A36" s="8" t="inlineStr">
        <is>
          <t>Treasury Posting Type</t>
        </is>
      </c>
      <c r="B36" s="8" t="inlineStr">
        <is>
          <t>IFRS 18 Category</t>
        </is>
      </c>
      <c r="C36" s="8" t="inlineStr">
        <is>
          <t>Confirmation Status</t>
        </is>
      </c>
      <c r="D36" s="8" t="inlineStr">
        <is>
          <t>Next Step</t>
        </is>
      </c>
    </row>
    <row r="37">
      <c r="A37" s="9" t="inlineStr">
        <is>
          <t>Interest expense on borrowings</t>
        </is>
      </c>
      <c r="B37" s="9" t="inlineStr">
        <is>
          <t>Financing</t>
        </is>
      </c>
      <c r="C37" s="9" t="inlineStr">
        <is>
          <t>Not confirmed - depends on whether SAP TRM is in use</t>
        </is>
      </c>
      <c r="D37" s="9" t="inlineStr">
        <is>
          <t>Verify in Activity 1.10</t>
        </is>
      </c>
    </row>
    <row r="38">
      <c r="A38" s="11" t="inlineStr">
        <is>
          <t>Interest income on deposits</t>
        </is>
      </c>
      <c r="B38" s="11" t="inlineStr">
        <is>
          <t>Investing</t>
        </is>
      </c>
      <c r="C38" s="11" t="inlineStr">
        <is>
          <t>Not confirmed - depends on whether SAP TRM is in use</t>
        </is>
      </c>
      <c r="D38" s="11" t="inlineStr">
        <is>
          <t>Verify in Activity 1.10</t>
        </is>
      </c>
    </row>
    <row r="39">
      <c r="A39" s="9" t="inlineStr">
        <is>
          <t>Dividend income</t>
        </is>
      </c>
      <c r="B39" s="9" t="inlineStr">
        <is>
          <t>Investing</t>
        </is>
      </c>
      <c r="C39" s="9" t="inlineStr">
        <is>
          <t>Not confirmed - depends on whether SAP TRM is in use</t>
        </is>
      </c>
      <c r="D39" s="9" t="inlineStr">
        <is>
          <t>Verify in Activity 1.10</t>
        </is>
      </c>
    </row>
    <row r="40">
      <c r="A40" s="11" t="inlineStr">
        <is>
          <t>FX gains/losses on financial instruments</t>
        </is>
      </c>
      <c r="B40" s="11" t="inlineStr">
        <is>
          <t>Depends on underlying instrument's category</t>
        </is>
      </c>
      <c r="C40" s="11" t="inlineStr">
        <is>
          <t>Not confirmed - review operating vs. financing FX</t>
        </is>
      </c>
      <c r="D40" s="11" t="inlineStr">
        <is>
          <t>Verify in Activity 1.10</t>
        </is>
      </c>
    </row>
    <row r="41">
      <c r="A41" s="9" t="inlineStr">
        <is>
          <t>Fair value gains/losses on derivatives</t>
        </is>
      </c>
      <c r="B41" s="9" t="inlineStr">
        <is>
          <t>Depends on hedge designation</t>
        </is>
      </c>
      <c r="C41" s="9" t="inlineStr">
        <is>
          <t>Not confirmed - review hedge accounting treatment</t>
        </is>
      </c>
      <c r="D41" s="9" t="inlineStr">
        <is>
          <t>Verify in Activity 1.10</t>
        </is>
      </c>
    </row>
    <row r="42">
      <c r="A42" s="11" t="inlineStr">
        <is>
          <t>Depreciation of RoU assets (IFRS 16)</t>
        </is>
      </c>
      <c r="B42" s="11" t="inlineStr">
        <is>
          <t>Operating</t>
        </is>
      </c>
      <c r="C42" s="11" t="inlineStr">
        <is>
          <t>Confirmed in GAP 7 (accounts 670000/670002/670005/670006)</t>
        </is>
      </c>
      <c r="D42" s="11" t="inlineStr">
        <is>
          <t>Already covered by Activity 3.4</t>
        </is>
      </c>
    </row>
    <row r="43">
      <c r="A43" s="9" t="inlineStr">
        <is>
          <t>Interest on lease liabilities (IFRS 16)</t>
        </is>
      </c>
      <c r="B43" s="9" t="inlineStr">
        <is>
          <t>Financing</t>
        </is>
      </c>
      <c r="C43" s="9" t="inlineStr">
        <is>
          <t>Confirmed in GAP 7 (accounts 661300/661302/661305/661306)</t>
        </is>
      </c>
      <c r="D43" s="9" t="inlineStr">
        <is>
          <t>Already covered by Activity 3.4</t>
        </is>
      </c>
    </row>
    <row r="44">
      <c r="A44" s="11" t="inlineStr">
        <is>
          <t>Other lease expenses (IFRS 16)</t>
        </is>
      </c>
      <c r="B44" s="11" t="inlineStr">
        <is>
          <t>To be verified</t>
        </is>
      </c>
      <c r="C44" s="11" t="inlineStr">
        <is>
          <t>Confirmed in GAP 7 (accounts 671110-671306)</t>
        </is>
      </c>
      <c r="D44" s="11" t="inlineStr">
        <is>
          <t>Already covered by Activity 3.4</t>
        </is>
      </c>
    </row>
    <row r="45">
      <c r="A45" s="9" t="inlineStr">
        <is>
          <t>Amortization (bond/security premium or discount)</t>
        </is>
      </c>
      <c r="B45" s="9" t="inlineStr">
        <is>
          <t>Depends on instrument</t>
        </is>
      </c>
      <c r="C45" s="9" t="inlineStr">
        <is>
          <t>Not confirmed - depends on whether SAP TRM is in use</t>
        </is>
      </c>
      <c r="D45" s="9" t="inlineStr">
        <is>
          <t>Verify in Activity 1.10</t>
        </is>
      </c>
    </row>
    <row r="46">
      <c r="A46" s="11" t="inlineStr">
        <is>
          <t>Current portion reclassification (loans)</t>
        </is>
      </c>
      <c r="B46" s="11" t="inlineStr">
        <is>
          <t>Balance sheet only - not a P&amp;L category</t>
        </is>
      </c>
      <c r="C46" s="11" t="inlineStr">
        <is>
          <t>N/A - reclassification is BS, not P&amp;L</t>
        </is>
      </c>
      <c r="D46" s="11" t="inlineStr">
        <is>
          <t>No P&amp;L category action needed</t>
        </is>
      </c>
    </row>
    <row r="47">
      <c r="A47" s="9" t="inlineStr">
        <is>
          <t>Impairment losses/reversals (financial instruments)</t>
        </is>
      </c>
      <c r="B47" s="9" t="inlineStr">
        <is>
          <t>Operating or Financing, depending on policy</t>
        </is>
      </c>
      <c r="C47" s="9" t="inlineStr">
        <is>
          <t>Not confirmed - depends on whether SAP TRM is in use</t>
        </is>
      </c>
      <c r="D47" s="9" t="inlineStr">
        <is>
          <t>Verify in Activity 1.10</t>
        </is>
      </c>
    </row>
  </sheetData>
  <mergeCells count="5">
    <mergeCell ref="A35:D35"/>
    <mergeCell ref="A28:E28"/>
    <mergeCell ref="A9:C9"/>
    <mergeCell ref="A1:E1"/>
    <mergeCell ref="A19:D1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2026-07-14T11:37:08Z</dcterms:created>
  <dcterms:modified xmlns:dcterms="http://purl.org/dc/terms/" xmlns:xsi="http://www.w3.org/2001/XMLSchema-instance" xsi:type="dcterms:W3CDTF">2026-07-14T11:37:08Z</dcterms:modified>
</cp:coreProperties>
</file>